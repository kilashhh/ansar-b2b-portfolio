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bcbdba847f433d" /></Relationships>
</file>

<file path=xl/workbook.xml><?xml version="1.0" encoding="utf-8"?>
<x:workbook xmlns:x="http://schemas.openxmlformats.org/spreadsheetml/2006/main">
  <x:sheets>
    <x:sheet xmlns:r="http://schemas.openxmlformats.org/officeDocument/2006/relationships" name="Overview" sheetId="1" r:id="R8f0982e2f1194371"/>
    <x:sheet xmlns:r="http://schemas.openxmlformats.org/officeDocument/2006/relationships" name="Account list" sheetId="2" r:id="Rc0e255c931104340"/>
    <x:sheet xmlns:r="http://schemas.openxmlformats.org/officeDocument/2006/relationships" name="Account card" sheetId="3" r:id="R0e7eae05be474152"/>
    <x:sheet xmlns:r="http://schemas.openxmlformats.org/officeDocument/2006/relationships" name="Read me" sheetId="4" r:id="Ra3a9779cfa52454f"/>
    <x:sheet xmlns:r="http://schemas.openxmlformats.org/officeDocument/2006/relationships" name="Prospects" sheetId="5" r:id="R9d4c6405e04a443c"/>
    <x:sheet xmlns:r="http://schemas.openxmlformats.org/officeDocument/2006/relationships" name="Outreach" sheetId="6" r:id="R126bb1a4df8e449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18">
    <x:font>
      <x:sz val="11"/>
      <x:name val="Carlito"/>
    </x:font>
    <x:font>
      <x:sz val="10"/>
      <x:color rgb="FF172F31"/>
      <x:name val="Arial"/>
    </x:font>
    <x:font>
      <x:b/>
      <x:sz val="10"/>
      <x:color rgb="FFFFFFFF"/>
      <x:name val="Arial"/>
    </x:font>
    <x:font>
      <x:b/>
      <x:sz val="14"/>
      <x:color rgb="FF172F31"/>
      <x:name val="Arial"/>
    </x:font>
    <x:font>
      <x:sz val="11"/>
      <x:color rgb="FF173331"/>
      <x:name val="Arial"/>
    </x:font>
    <x:font>
      <x:b/>
      <x:sz val="17"/>
      <x:color rgb="FF173331"/>
      <x:name val="Arial"/>
    </x:font>
    <x:font>
      <x:sz val="10"/>
      <x:color rgb="FF64756C"/>
      <x:name val="Arial"/>
    </x:font>
    <x:font>
      <x:b/>
      <x:sz val="10"/>
      <x:color rgb="FF64756C"/>
      <x:name val="Arial"/>
    </x:font>
    <x:font>
      <x:b/>
      <x:sz val="23"/>
      <x:color rgb="FF173331"/>
      <x:name val="Arial"/>
    </x:font>
    <x:font>
      <x:b/>
      <x:sz val="11"/>
      <x:color rgb="FF173331"/>
      <x:name val="Arial"/>
    </x:font>
    <x:font>
      <x:b/>
      <x:sz val="11"/>
      <x:color rgb="FFFFFFFF"/>
      <x:name val="Arial"/>
    </x:font>
    <x:font>
      <x:b/>
      <x:sz val="14"/>
      <x:color rgb="FF173331"/>
      <x:name val="Arial"/>
    </x:font>
    <x:font>
      <x:b/>
      <x:sz val="13"/>
      <x:color rgb="FF173331"/>
      <x:name val="Arial"/>
    </x:font>
    <x:font>
      <x:b/>
      <x:sz val="15"/>
      <x:color rgb="FF173331"/>
      <x:name val="Arial"/>
    </x:font>
    <x:font>
      <x:sz val="10"/>
      <x:color rgb="FF173331"/>
      <x:name val="Arial"/>
    </x:font>
    <x:font>
      <x:sz val="11"/>
      <x:color rgb="FF64756C"/>
      <x:name val="Arial"/>
    </x:font>
    <x:font>
      <x:b/>
      <x:sz val="10"/>
      <x:color rgb="FF173331"/>
      <x:name val="Arial"/>
    </x:font>
    <x:font>
      <x:b/>
      <x:sz val="12"/>
      <x:color rgb="FFFFFFFF"/>
      <x:name val="Arial"/>
    </x:font>
  </x:fonts>
  <x:fills count="14">
    <x:fill>
      <x:patternFill patternType="none"/>
    </x:fill>
    <x:fill>
      <x:patternFill patternType="gray125"/>
    </x:fill>
    <x:fill>
      <x:patternFill patternType="solid">
        <x:fgColor rgb="FF172F31"/>
      </x:patternFill>
    </x:fill>
    <x:fill>
      <x:patternFill patternType="solid">
        <x:fgColor rgb="FFFFF3D6"/>
      </x:patternFill>
    </x:fill>
    <x:fill>
      <x:patternFill patternType="solid">
        <x:fgColor rgb="FFF7F7F0"/>
      </x:patternFill>
    </x:fill>
    <x:fill>
      <x:patternFill patternType="solid">
        <x:fgColor rgb="FFFFFFFF"/>
      </x:patternFill>
    </x:fill>
    <x:fill>
      <x:patternFill patternType="solid">
        <x:fgColor rgb="FFF7F8F2"/>
      </x:patternFill>
    </x:fill>
    <x:fill>
      <x:patternFill patternType="solid">
        <x:fgColor rgb="FFDCEACF"/>
      </x:patternFill>
    </x:fill>
    <x:fill>
      <x:patternFill patternType="solid">
        <x:fgColor rgb="FFFFF0C7"/>
      </x:patternFill>
    </x:fill>
    <x:fill>
      <x:patternFill patternType="solid">
        <x:fgColor rgb="FFF6E4DC"/>
      </x:patternFill>
    </x:fill>
    <x:fill>
      <x:patternFill patternType="solid">
        <x:fgColor rgb="FF173331"/>
      </x:patternFill>
    </x:fill>
    <x:fill>
      <x:patternFill patternType="solid">
        <x:fgColor rgb="FF496B48"/>
      </x:patternFill>
    </x:fill>
    <x:fill>
      <x:patternFill patternType="solid">
        <x:fgColor rgb="FF786650"/>
      </x:patternFill>
    </x:fill>
    <x:fill>
      <x:patternFill patternType="solid">
        <x:fgColor rgb="FF596C73"/>
      </x:patternFill>
    </x:fill>
  </x:fills>
  <x:borders count="2">
    <x:border>
      <x:left/>
      <x:right/>
      <x:top/>
      <x:bottom/>
      <x:diagonal/>
    </x:border>
    <x:border>
      <x:left/>
      <x:right/>
      <x:top/>
      <x:bottom style="thin">
        <x:color rgb="FFDAE2D5"/>
      </x:bottom>
      <x:diagonal/>
    </x:border>
  </x:borders>
  <x:cellStyleXfs count="1">
    <x:xf numFmtId="0" fontId="0" fillId="0" borderId="0"/>
  </x:cellStyleXfs>
  <x:cellXfs count="1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0" fontId="2" fillId="4"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center" wrapText="1"/>
    </x:xf>
    <x:xf numFmtId="202" fontId="1" fillId="0" borderId="0" xfId="0" applyNumberFormat="1" applyFont="1" applyFill="1" applyBorder="1" applyAlignment="1">
      <x:alignment vertical="center" wrapText="1"/>
    </x:xf>
    <x:xf numFmtId="0" fontId="4" fillId="0"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0" xfId="0" applyNumberFormat="1" applyFont="1" applyFill="1" applyBorder="1" applyAlignment="1">
      <x:alignment vertical="center" wrapText="1"/>
    </x:xf>
    <x:xf numFmtId="0" fontId="6" fillId="5" borderId="0" xfId="0" applyNumberFormat="1" applyFont="1" applyFill="1" applyBorder="1" applyAlignment="1">
      <x:alignment vertical="center"/>
    </x:xf>
    <x:xf numFmtId="0" fontId="6" fillId="5" borderId="0"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7" fillId="5" borderId="0" xfId="0" applyNumberFormat="1" applyFont="1" applyFill="1" applyBorder="1" applyAlignment="1">
      <x:alignment vertical="center"/>
    </x:xf>
    <x:xf numFmtId="0" fontId="7" fillId="5" borderId="0" xfId="0" applyNumberFormat="1" applyFont="1" applyFill="1" applyBorder="1" applyAlignment="1">
      <x:alignment vertical="center" wrapText="1"/>
    </x:xf>
    <x:xf numFmtId="0" fontId="4" fillId="6" borderId="0" xfId="0" applyNumberFormat="1" applyFont="1" applyFill="1" applyBorder="1" applyAlignment="1">
      <x:alignment vertical="center"/>
    </x:xf>
    <x:xf numFmtId="0" fontId="8" fillId="6" borderId="0" xfId="0" applyNumberFormat="1" applyFont="1" applyFill="1" applyBorder="1" applyAlignment="1">
      <x:alignment vertical="center"/>
    </x:xf>
    <x:xf numFmtId="0" fontId="8" fillId="6" borderId="0" xfId="0" applyNumberFormat="1" applyFont="1" applyFill="1" applyBorder="1" applyAlignment="1">
      <x:alignment vertical="center" wrapText="1"/>
    </x:xf>
    <x:xf numFmtId="0" fontId="8" fillId="6" borderId="0" xfId="0" applyNumberFormat="1" applyFont="1" applyFill="1" applyBorder="1" applyAlignment="1">
      <x:alignment horizontal="center" vertical="center" wrapText="1"/>
    </x:xf>
    <x:xf numFmtId="0" fontId="4" fillId="7" borderId="0" xfId="0" applyNumberFormat="1" applyFont="1" applyFill="1" applyBorder="1" applyAlignment="1">
      <x:alignment vertical="center"/>
    </x:xf>
    <x:xf numFmtId="0" fontId="8" fillId="7" borderId="0" xfId="0" applyNumberFormat="1" applyFont="1" applyFill="1" applyBorder="1" applyAlignment="1">
      <x:alignment vertical="center"/>
    </x:xf>
    <x:xf numFmtId="0" fontId="8" fillId="7" borderId="0" xfId="0" applyNumberFormat="1" applyFont="1" applyFill="1" applyBorder="1" applyAlignment="1">
      <x:alignment vertical="center" wrapText="1"/>
    </x:xf>
    <x:xf numFmtId="0" fontId="8" fillId="7" borderId="0" xfId="0" applyNumberFormat="1" applyFont="1" applyFill="1" applyBorder="1" applyAlignment="1">
      <x:alignment horizontal="center" vertical="center" wrapText="1"/>
    </x:xf>
    <x:xf numFmtId="0" fontId="4" fillId="8" borderId="0" xfId="0" applyNumberFormat="1" applyFont="1" applyFill="1" applyBorder="1" applyAlignment="1">
      <x:alignment vertical="center"/>
    </x:xf>
    <x:xf numFmtId="0" fontId="8" fillId="8" borderId="0" xfId="0" applyNumberFormat="1" applyFont="1" applyFill="1" applyBorder="1" applyAlignment="1">
      <x:alignment vertical="center"/>
    </x:xf>
    <x:xf numFmtId="0" fontId="8" fillId="8" borderId="0" xfId="0" applyNumberFormat="1" applyFont="1" applyFill="1" applyBorder="1" applyAlignment="1">
      <x:alignment vertical="center" wrapText="1"/>
    </x:xf>
    <x:xf numFmtId="0" fontId="8" fillId="8" borderId="0" xfId="0" applyNumberFormat="1" applyFont="1" applyFill="1" applyBorder="1" applyAlignment="1">
      <x:alignment horizontal="center" vertical="center" wrapText="1"/>
    </x:xf>
    <x:xf numFmtId="0" fontId="4" fillId="9" borderId="0" xfId="0" applyNumberFormat="1" applyFont="1" applyFill="1" applyBorder="1" applyAlignment="1">
      <x:alignment vertical="center"/>
    </x:xf>
    <x:xf numFmtId="0" fontId="8" fillId="9" borderId="0" xfId="0" applyNumberFormat="1" applyFont="1" applyFill="1" applyBorder="1" applyAlignment="1">
      <x:alignment vertical="center"/>
    </x:xf>
    <x:xf numFmtId="0" fontId="8" fillId="9" borderId="0" xfId="0" applyNumberFormat="1" applyFont="1" applyFill="1" applyBorder="1" applyAlignment="1">
      <x:alignment vertical="center" wrapText="1"/>
    </x:xf>
    <x:xf numFmtId="0" fontId="8" fillId="9" borderId="0" xfId="0" applyNumberFormat="1" applyFont="1" applyFill="1" applyBorder="1" applyAlignment="1">
      <x:alignment horizontal="center" vertical="center" wrapText="1"/>
    </x:xf>
    <x:xf numFmtId="0" fontId="9" fillId="7" borderId="0" xfId="0" applyNumberFormat="1" applyFont="1" applyFill="1" applyBorder="1" applyAlignment="1">
      <x:alignment vertical="center"/>
    </x:xf>
    <x:xf numFmtId="0" fontId="9" fillId="7"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6" borderId="0" xfId="0" applyNumberFormat="1" applyFont="1" applyFill="1" applyBorder="1" applyAlignment="1">
      <x:alignment vertical="center"/>
    </x:xf>
    <x:xf numFmtId="0" fontId="6" fillId="6"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200" fontId="4" fillId="5" borderId="0" xfId="0" applyNumberFormat="1" applyFont="1" applyFill="1" applyBorder="1" applyAlignment="1">
      <x:alignment vertical="center" wrapText="1"/>
    </x:xf>
    <x:xf numFmtId="0" fontId="4" fillId="10" borderId="0" xfId="0" applyNumberFormat="1" applyFont="1" applyFill="1" applyBorder="1" applyAlignment="1">
      <x:alignment vertical="center"/>
    </x:xf>
    <x:xf numFmtId="0" fontId="10" fillId="10" borderId="0" xfId="0" applyNumberFormat="1" applyFont="1" applyFill="1" applyBorder="1" applyAlignment="1">
      <x:alignment vertical="center"/>
    </x:xf>
    <x:xf numFmtId="0" fontId="10" fillId="10" borderId="0" xfId="0" applyNumberFormat="1" applyFont="1" applyFill="1" applyBorder="1" applyAlignment="1">
      <x:alignment vertical="center" wrapText="1"/>
    </x:xf>
    <x:xf numFmtId="0" fontId="10" fillId="10" borderId="0" xfId="0" applyNumberFormat="1" applyFont="1" applyFill="1" applyBorder="1" applyAlignment="1">
      <x:alignment horizontal="center" vertical="center" wrapText="1"/>
    </x:xf>
    <x:xf numFmtId="0" fontId="4" fillId="6" borderId="1" xfId="0" applyNumberFormat="1" applyFont="1" applyFill="1" applyBorder="1" applyAlignment="1">
      <x:alignment vertical="center" wrapText="1"/>
    </x:xf>
    <x:xf numFmtId="0" fontId="4" fillId="5" borderId="1" xfId="0" applyNumberFormat="1" applyFont="1" applyFill="1" applyBorder="1" applyAlignment="1">
      <x:alignment vertical="center" wrapText="1"/>
    </x:xf>
    <x:xf numFmtId="201" fontId="4" fillId="6" borderId="1" xfId="0" applyNumberFormat="1" applyFont="1" applyFill="1" applyBorder="1" applyAlignment="1">
      <x:alignment vertical="center" wrapText="1"/>
    </x:xf>
    <x:xf numFmtId="201" fontId="4" fillId="5" borderId="1" xfId="0" applyNumberFormat="1" applyFont="1" applyFill="1" applyBorder="1" applyAlignment="1">
      <x:alignment vertical="center" wrapText="1"/>
    </x:xf>
    <x:xf numFmtId="201" fontId="11" fillId="6" borderId="1" xfId="0" applyNumberFormat="1" applyFont="1" applyFill="1" applyBorder="1" applyAlignment="1">
      <x:alignment vertical="center" wrapText="1"/>
    </x:xf>
    <x:xf numFmtId="201" fontId="11" fillId="5" borderId="1" xfId="0" applyNumberFormat="1" applyFont="1" applyFill="1" applyBorder="1" applyAlignment="1">
      <x:alignment vertical="center" wrapText="1"/>
    </x:xf>
    <x:xf numFmtId="201" fontId="11" fillId="6" borderId="1" xfId="0" applyNumberFormat="1" applyFont="1" applyFill="1" applyBorder="1" applyAlignment="1">
      <x:alignment horizontal="center" vertical="center" wrapText="1"/>
    </x:xf>
    <x:xf numFmtId="201" fontId="11" fillId="5" borderId="1" xfId="0" applyNumberFormat="1" applyFont="1" applyFill="1" applyBorder="1" applyAlignment="1">
      <x:alignment horizontal="center" vertical="center" wrapText="1"/>
    </x:xf>
    <x:xf numFmtId="0" fontId="12" fillId="8" borderId="0" xfId="0" applyNumberFormat="1" applyFont="1" applyFill="1" applyBorder="1" applyAlignment="1">
      <x:alignment vertical="center"/>
    </x:xf>
    <x:xf numFmtId="0" fontId="12" fillId="8" borderId="0" xfId="0" applyNumberFormat="1" applyFont="1" applyFill="1" applyBorder="1" applyAlignment="1">
      <x:alignment vertical="center" wrapText="1"/>
    </x:xf>
    <x:xf numFmtId="0" fontId="13" fillId="6" borderId="0" xfId="0" applyNumberFormat="1" applyFont="1" applyFill="1" applyBorder="1" applyAlignment="1">
      <x:alignment vertical="center"/>
    </x:xf>
    <x:xf numFmtId="0" fontId="13" fillId="6" borderId="0" xfId="0" applyNumberFormat="1" applyFont="1" applyFill="1" applyBorder="1" applyAlignment="1">
      <x:alignment vertical="center" wrapText="1"/>
    </x:xf>
    <x:xf numFmtId="0" fontId="4" fillId="9" borderId="0"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200" fontId="4" fillId="6" borderId="0" xfId="0" applyNumberFormat="1" applyFont="1" applyFill="1" applyBorder="1" applyAlignment="1">
      <x:alignment vertical="center" wrapText="1"/>
    </x:xf>
    <x:xf numFmtId="0" fontId="14" fillId="6" borderId="0" xfId="0" applyNumberFormat="1" applyFont="1" applyFill="1" applyBorder="1" applyAlignment="1">
      <x:alignment vertical="center"/>
    </x:xf>
    <x:xf numFmtId="0" fontId="14" fillId="6" borderId="0" xfId="0" applyNumberFormat="1" applyFont="1" applyFill="1" applyBorder="1" applyAlignment="1">
      <x:alignment vertical="center" wrapText="1"/>
    </x:xf>
    <x:xf numFmtId="0" fontId="5" fillId="6" borderId="0" xfId="0" applyNumberFormat="1" applyFont="1" applyFill="1" applyBorder="1" applyAlignment="1">
      <x:alignment vertical="center"/>
    </x:xf>
    <x:xf numFmtId="0" fontId="5" fillId="6" borderId="0" xfId="0" applyNumberFormat="1" applyFont="1" applyFill="1" applyBorder="1" applyAlignment="1">
      <x:alignment vertical="center" wrapText="1"/>
    </x:xf>
    <x:xf numFmtId="0" fontId="5" fillId="6" borderId="0" xfId="0" applyNumberFormat="1" applyFont="1" applyFill="1" applyBorder="1" applyAlignment="1">
      <x:alignment horizontal="center" vertical="center" wrapText="1"/>
    </x:xf>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201" fontId="1" fillId="5" borderId="0" xfId="0" applyNumberFormat="1" applyFont="1" applyFill="1" applyBorder="1" applyAlignment="1">
      <x:alignment horizontal="right" vertical="top" wrapText="1"/>
    </x:xf>
    <x:xf numFmtId="20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201" fontId="1" fillId="6" borderId="0" xfId="0" applyNumberFormat="1" applyFont="1" applyFill="1" applyBorder="1" applyAlignment="1">
      <x:alignment horizontal="right" vertical="top" wrapText="1"/>
    </x:xf>
    <x:xf numFmtId="200" fontId="1" fillId="6" borderId="0" xfId="0" applyNumberFormat="1" applyFont="1" applyFill="1" applyBorder="1" applyAlignment="1">
      <x:alignment vertical="top" wrapText="1"/>
    </x:xf>
    <x:xf numFmtId="0" fontId="2" fillId="10" borderId="0" xfId="0" applyNumberFormat="1" applyFont="1" applyFill="1" applyBorder="1" applyAlignment="1">
      <x:alignment horizontal="center" vertical="center" wrapText="1"/>
    </x:xf>
    <x:xf numFmtId="0" fontId="2" fillId="11" borderId="0" xfId="0" applyNumberFormat="1" applyFont="1" applyFill="1" applyBorder="1" applyAlignment="1">
      <x:alignment horizontal="center" vertic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201" fontId="1" fillId="8" borderId="0" xfId="0" applyNumberFormat="1" applyFont="1" applyFill="1" applyBorder="1" applyAlignment="1">
      <x:alignment horizontal="right" vertical="top" wrapText="1"/>
    </x:xf>
    <x:xf numFmtId="0" fontId="1" fillId="8" borderId="0" xfId="0" applyNumberFormat="1" applyFont="1" applyFill="1" applyBorder="1" applyAlignment="1">
      <x:alignment vertical="top" wrapText="1"/>
    </x:xf>
    <x:xf numFmtId="0" fontId="3" fillId="5" borderId="0" xfId="0" applyNumberFormat="1" applyFont="1" applyFill="1" applyBorder="1" applyAlignment="1">
      <x:alignment horizontal="center" vertical="center" wrapText="1"/>
    </x:xf>
    <x:xf numFmtId="0" fontId="1" fillId="5"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2" fontId="1" fillId="5" borderId="0" xfId="0" applyNumberFormat="1" applyFont="1" applyFill="1" applyBorder="1" applyAlignment="1">
      <x:alignment vertical="center" wrapText="1"/>
    </x:xf>
    <x:xf numFmtId="0" fontId="13" fillId="5" borderId="0" xfId="0" applyNumberFormat="1" applyFont="1" applyFill="1" applyBorder="1" applyAlignment="1">
      <x:alignment horizontal="center" vertical="center" wrapText="1"/>
    </x:xf>
    <x:xf numFmtId="0" fontId="16" fillId="5" borderId="0" xfId="0" applyNumberFormat="1" applyFont="1" applyFill="1" applyBorder="1" applyAlignment="1">
      <x:alignment vertical="center" wrapText="1"/>
    </x:xf>
    <x:xf numFmtId="200" fontId="6" fillId="5" borderId="0" xfId="0" applyNumberFormat="1" applyFont="1" applyFill="1" applyBorder="1" applyAlignment="1">
      <x:alignment vertical="center" wrapText="1"/>
    </x:xf>
    <x:xf numFmtId="202" fontId="6" fillId="5" borderId="0" xfId="0" applyNumberFormat="1" applyFont="1" applyFill="1" applyBorder="1" applyAlignment="1">
      <x:alignment vertical="center" wrapText="1"/>
    </x:xf>
    <x:xf numFmtId="0" fontId="16" fillId="6" borderId="0" xfId="0" applyNumberFormat="1" applyFont="1" applyFill="1" applyBorder="1" applyAlignment="1">
      <x:alignment vertical="center" wrapText="1"/>
    </x:xf>
    <x:xf numFmtId="0" fontId="17" fillId="10" borderId="0" xfId="0" applyNumberFormat="1" applyFont="1" applyFill="1" applyBorder="1" applyAlignment="1">
      <x:alignment vertical="center"/>
    </x:xf>
    <x:xf numFmtId="0" fontId="17" fillId="10" borderId="0" xfId="0" applyNumberFormat="1" applyFont="1" applyFill="1" applyBorder="1" applyAlignment="1">
      <x:alignment vertical="center" wrapText="1"/>
    </x:xf>
    <x:xf numFmtId="0" fontId="14" fillId="7" borderId="0" xfId="0" applyNumberFormat="1" applyFont="1" applyFill="1" applyBorder="1" applyAlignment="1">
      <x:alignment vertical="center"/>
    </x:xf>
    <x:xf numFmtId="0" fontId="14" fillId="7" borderId="0" xfId="0" applyNumberFormat="1" applyFont="1" applyFill="1" applyBorder="1" applyAlignment="1">
      <x:alignment vertical="center" wrapText="1"/>
    </x:xf>
  </x:cellXfs>
  <x:cellStyles count="1">
    <x:cellStyle name="Normal" xfId="0"/>
  </x:cellStyles>
  <x:dxfs count="3">
    <x:dxf>
      <x:font>
        <x:b/>
        <x:color rgb="FF173331"/>
      </x:font>
      <x:fill>
        <x:patternFill patternType="solid">
          <x:bgColor rgb="FFDCEACF"/>
        </x:patternFill>
      </x:fill>
    </x:dxf>
    <x:dxf>
      <x:fill>
        <x:patternFill patternType="solid">
          <x:bgColor rgb="FFFFF0C7"/>
        </x:patternFill>
      </x:fill>
    </x:dxf>
    <x:dxf>
      <x:fill>
        <x:patternFill patternType="solid">
          <x:bgColor rgb="FFF6E4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f33740e68744ec" /><Relationship Type="http://schemas.openxmlformats.org/officeDocument/2006/relationships/theme" Target="/xl/theme/theme1.xml" Id="Rf2db60f168fb418e" /><Relationship Type="http://schemas.openxmlformats.org/officeDocument/2006/relationships/sharedStrings" Target="/xl/sharedStrings.xml" Id="Rfc96f39d578e47b4" /><Relationship Type="http://schemas.openxmlformats.org/officeDocument/2006/relationships/worksheet" Target="/xl/worksheets/sheet1.xml" Id="R8f0982e2f1194371" /><Relationship Type="http://schemas.openxmlformats.org/officeDocument/2006/relationships/worksheet" Target="/xl/worksheets/sheet2.xml" Id="Rc0e255c931104340" /><Relationship Type="http://schemas.openxmlformats.org/officeDocument/2006/relationships/worksheet" Target="/xl/worksheets/sheet3.xml" Id="R0e7eae05be474152" /><Relationship Type="http://schemas.openxmlformats.org/officeDocument/2006/relationships/worksheet" Target="/xl/worksheets/sheet4.xml" Id="Ra3a9779cfa52454f" /><Relationship Type="http://schemas.openxmlformats.org/officeDocument/2006/relationships/worksheet" Target="/xl/worksheets/sheet5.xml" Id="R9d4c6405e04a443c" /><Relationship Type="http://schemas.openxmlformats.org/officeDocument/2006/relationships/worksheet" Target="/xl/worksheets/sheet6.xml" Id="R126bb1a4df8e4492" /></Relationships>
</file>

<file path=xl/tables/table1.xml><?xml version="1.0" encoding="utf-8"?>
<x:table xmlns:x="http://schemas.openxmlformats.org/spreadsheetml/2006/main" id="2" name="INTShortlist" displayName="INTShortlist" ref="A5:H20" headerRowCount="1" totalsRowCount="0" totalsRowShown="0">
  <x:tableColumns count="8">
    <x:tableColumn id="1" name="ID"/>
    <x:tableColumn id="2" name="Company"/>
    <x:tableColumn id="3" name="Segment"/>
    <x:tableColumn id="4" name="Fit /100"/>
    <x:tableColumn id="5" name="Priority"/>
    <x:tableColumn id="6" name="Contact route"/>
    <x:tableColumn id="7" name="What to qualify"/>
    <x:tableColumn id="8" name="Status"/>
  </x:tableColumns>
  <x:tableStyleInfo name="TableStyleLight1" showFirstColumn="0" showLastColumn="0" showRowStripes="1" showColumnStripes="0"/>
</x:table>
</file>

<file path=xl/tables/table2.xml><?xml version="1.0" encoding="utf-8"?>
<x:table xmlns:x="http://schemas.openxmlformats.org/spreadsheetml/2006/main" id="1" name="INTAccounts" displayName="INTAccounts" ref="A1:AB16" headerRowCount="1" totalsRowCount="0" totalsRowShown="0">
  <x:tableColumns count="28">
    <x:tableColumn id="1" name="ID"/>
    <x:tableColumn id="2" name="Company / brand"/>
    <x:tableColumn id="3" name="Website"/>
    <x:tableColumn id="4" name="Segment"/>
    <x:tableColumn id="5" name="Observed fact"/>
    <x:tableColumn id="6" name="Use-case hypothesis"/>
    <x:tableColumn id="7" name="Target role (not a verified person)"/>
    <x:tableColumn id="8" name="Public contact / route"/>
    <x:tableColumn id="9" name="Contact type"/>
    <x:tableColumn id="10" name="Segment 0–5"/>
    <x:tableColumn id="11" name="Use case 0–5"/>
    <x:tableColumn id="12" name="Route 0–5"/>
    <x:tableColumn id="13" name="Evidence 0–5"/>
    <x:tableColumn id="14" name="ICP fit /100"/>
    <x:tableColumn id="15" name="Research priority"/>
    <x:tableColumn id="16" name="Scoring rationale"/>
    <x:tableColumn id="17" name="Research advantage"/>
    <x:tableColumn id="18" name="Limitation"/>
    <x:tableColumn id="19" name="Next action"/>
    <x:tableColumn id="20" name="Source access date"/>
    <x:tableColumn id="21" name="Verification scope"/>
    <x:tableColumn id="22" name="Status"/>
    <x:tableColumn id="23" name="Email / phone tested?"/>
    <x:tableColumn id="24" name="Budget / need"/>
    <x:tableColumn id="25" name="Company size"/>
    <x:tableColumn id="26" name="Task owner"/>
    <x:tableColumn id="27" name="Business evidence source"/>
    <x:tableColumn id="28" name="Contact sourc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ns0:Relationship Type="http://schemas.openxmlformats.org/officeDocument/2006/relationships/table" Target="/xl/tables/table1.xml" Id="R35021a24c43a4409" /></ns0:Relationships>
</file>

<file path=xl/worksheets/_rels/sheet5.xml.rels><?xml version='1.0' encoding='utf-8'?>
<ns0:Relationships xmlns:ns0="http://schemas.openxmlformats.org/package/2006/relationships"><ns0:Relationship Type="http://schemas.openxmlformats.org/officeDocument/2006/relationships/table" Target="/xl/tables/table2.xml" Id="Rcff6efe603bb4d5a" /><ns0:Relationship Id="portfolioLink0" Type="http://schemas.openxmlformats.org/officeDocument/2006/relationships/hyperlink" Target="https://www.pipedrive.com/en" TargetMode="External" /><ns0:Relationship Id="portfolioLink1" Type="http://schemas.openxmlformats.org/officeDocument/2006/relationships/hyperlink" Target="https://www.pipedrive.com/en" TargetMode="External" /><ns0:Relationship Id="portfolioLink2" Type="http://schemas.openxmlformats.org/officeDocument/2006/relationships/hyperlink" Target="https://www.pipedrive.com/en" TargetMode="External" /><ns0:Relationship Id="portfolioLink3" Type="http://schemas.openxmlformats.org/officeDocument/2006/relationships/hyperlink" Target="https://close.com/" TargetMode="External" /><ns0:Relationship Id="portfolioLink4" Type="http://schemas.openxmlformats.org/officeDocument/2006/relationships/hyperlink" Target="https://close.com/" TargetMode="External" /><ns0:Relationship Id="portfolioLink5" Type="http://schemas.openxmlformats.org/officeDocument/2006/relationships/hyperlink" Target="https://close.com/" TargetMode="External" /><ns0:Relationship Id="portfolioLink6" Type="http://schemas.openxmlformats.org/officeDocument/2006/relationships/hyperlink" Target="https://attio.com/" TargetMode="External" /><ns0:Relationship Id="portfolioLink7" Type="http://schemas.openxmlformats.org/officeDocument/2006/relationships/hyperlink" Target="https://attio.com/" TargetMode="External" /><ns0:Relationship Id="portfolioLink8" Type="http://schemas.openxmlformats.org/officeDocument/2006/relationships/hyperlink" Target="https://attio.com/contact/sales" TargetMode="External" /><ns0:Relationship Id="portfolioLink9" Type="http://schemas.openxmlformats.org/officeDocument/2006/relationships/hyperlink" Target="https://front.com/" TargetMode="External" /><ns0:Relationship Id="portfolioLink10" Type="http://schemas.openxmlformats.org/officeDocument/2006/relationships/hyperlink" Target="https://front.com/" TargetMode="External" /><ns0:Relationship Id="portfolioLink11" Type="http://schemas.openxmlformats.org/officeDocument/2006/relationships/hyperlink" Target="https://front.com/" TargetMode="External" /><ns0:Relationship Id="portfolioLink12" Type="http://schemas.openxmlformats.org/officeDocument/2006/relationships/hyperlink" Target="https://www.intercom.com/" TargetMode="External" /><ns0:Relationship Id="portfolioLink13" Type="http://schemas.openxmlformats.org/officeDocument/2006/relationships/hyperlink" Target="https://www.intercom.com/" TargetMode="External" /><ns0:Relationship Id="portfolioLink14" Type="http://schemas.openxmlformats.org/officeDocument/2006/relationships/hyperlink" Target="https://www.intercom.com/" TargetMode="External" /><ns0:Relationship Id="portfolioLink15" Type="http://schemas.openxmlformats.org/officeDocument/2006/relationships/hyperlink" Target="https://customer.io/" TargetMode="External" /><ns0:Relationship Id="portfolioLink16" Type="http://schemas.openxmlformats.org/officeDocument/2006/relationships/hyperlink" Target="https://customer.io/" TargetMode="External" /><ns0:Relationship Id="portfolioLink17" Type="http://schemas.openxmlformats.org/officeDocument/2006/relationships/hyperlink" Target="https://customer.io/contact" TargetMode="External" /><ns0:Relationship Id="portfolioLink18" Type="http://schemas.openxmlformats.org/officeDocument/2006/relationships/hyperlink" Target="https://aircall.io/" TargetMode="External" /><ns0:Relationship Id="portfolioLink19" Type="http://schemas.openxmlformats.org/officeDocument/2006/relationships/hyperlink" Target="https://aircall.io/" TargetMode="External" /><ns0:Relationship Id="portfolioLink20" Type="http://schemas.openxmlformats.org/officeDocument/2006/relationships/hyperlink" Target="https://aircall.io/contact/" TargetMode="External" /><ns0:Relationship Id="portfolioLink21" Type="http://schemas.openxmlformats.org/officeDocument/2006/relationships/hyperlink" Target="https://www.lemlist.com/" TargetMode="External" /><ns0:Relationship Id="portfolioLink22" Type="http://schemas.openxmlformats.org/officeDocument/2006/relationships/hyperlink" Target="https://www.lemlist.com/" TargetMode="External" /><ns0:Relationship Id="portfolioLink23" Type="http://schemas.openxmlformats.org/officeDocument/2006/relationships/hyperlink" Target="https://www.lemlist.com/contact-sales" TargetMode="External" /><ns0:Relationship Id="portfolioLink24" Type="http://schemas.openxmlformats.org/officeDocument/2006/relationships/hyperlink" Target="https://www.apollo.io/" TargetMode="External" /><ns0:Relationship Id="portfolioLink25" Type="http://schemas.openxmlformats.org/officeDocument/2006/relationships/hyperlink" Target="https://www.apollo.io/" TargetMode="External" /><ns0:Relationship Id="portfolioLink26" Type="http://schemas.openxmlformats.org/officeDocument/2006/relationships/hyperlink" Target="https://www.apollo.io/" TargetMode="External" /><ns0:Relationship Id="portfolioLink27" Type="http://schemas.openxmlformats.org/officeDocument/2006/relationships/hyperlink" Target="https://www.cognism.com/" TargetMode="External" /><ns0:Relationship Id="portfolioLink28" Type="http://schemas.openxmlformats.org/officeDocument/2006/relationships/hyperlink" Target="https://www.cognism.com/" TargetMode="External" /><ns0:Relationship Id="portfolioLink29" Type="http://schemas.openxmlformats.org/officeDocument/2006/relationships/hyperlink" Target="https://www.cognism.com/" TargetMode="External" /><ns0:Relationship Id="portfolioLink30" Type="http://schemas.openxmlformats.org/officeDocument/2006/relationships/hyperlink" Target="https://www.surfe.com/" TargetMode="External" /><ns0:Relationship Id="portfolioLink31" Type="http://schemas.openxmlformats.org/officeDocument/2006/relationships/hyperlink" Target="https://www.surfe.com/" TargetMode="External" /><ns0:Relationship Id="portfolioLink32" Type="http://schemas.openxmlformats.org/officeDocument/2006/relationships/hyperlink" Target="https://www.surfe.com/" TargetMode="External" /><ns0:Relationship Id="portfolioLink33" Type="http://schemas.openxmlformats.org/officeDocument/2006/relationships/hyperlink" Target="https://reply.io/" TargetMode="External" /><ns0:Relationship Id="portfolioLink34" Type="http://schemas.openxmlformats.org/officeDocument/2006/relationships/hyperlink" Target="https://reply.io/" TargetMode="External" /><ns0:Relationship Id="portfolioLink35" Type="http://schemas.openxmlformats.org/officeDocument/2006/relationships/hyperlink" Target="https://reply.io/" TargetMode="External" /><ns0:Relationship Id="portfolioLink36" Type="http://schemas.openxmlformats.org/officeDocument/2006/relationships/hyperlink" Target="https://www.pandadoc.com/" TargetMode="External" /><ns0:Relationship Id="portfolioLink37" Type="http://schemas.openxmlformats.org/officeDocument/2006/relationships/hyperlink" Target="https://www.pandadoc.com/" TargetMode="External" /><ns0:Relationship Id="portfolioLink38" Type="http://schemas.openxmlformats.org/officeDocument/2006/relationships/hyperlink" Target="https://www.pandadoc.com/" TargetMode="External" /><ns0:Relationship Id="portfolioLink39" Type="http://schemas.openxmlformats.org/officeDocument/2006/relationships/hyperlink" Target="https://www.docsend.com/" TargetMode="External" /><ns0:Relationship Id="portfolioLink40" Type="http://schemas.openxmlformats.org/officeDocument/2006/relationships/hyperlink" Target="https://www.docsend.com/" TargetMode="External" /><ns0:Relationship Id="portfolioLink41" Type="http://schemas.openxmlformats.org/officeDocument/2006/relationships/hyperlink" Target="https://www.docsend.com/letschat/" TargetMode="External" /><ns0:Relationship Id="portfolioLink42" Type="http://schemas.openxmlformats.org/officeDocument/2006/relationships/hyperlink" Target="https://www.chilipiper.com/" TargetMode="External" /><ns0:Relationship Id="portfolioLink43" Type="http://schemas.openxmlformats.org/officeDocument/2006/relationships/hyperlink" Target="https://www.chilipiper.com/" TargetMode="External" /><ns0:Relationship Id="portfolioLink44" Type="http://schemas.openxmlformats.org/officeDocument/2006/relationships/hyperlink" Target="https://www.chilipiper.com/" TargetMode="External" /></ns0:Relationships>
</file>

<file path=xl/worksheets/sheet1.xml><?xml version="1.0" encoding="utf-8"?>
<worksheet xmlns="http://schemas.openxmlformats.org/spreadsheetml/2006/main">
  <sheetPr>
    <tabColor rgb="FF173331"/>
  </sheetPr>
  <sheetViews>
    <sheetView showGridLines="0" workbookViewId="0"/>
  </sheetViews>
  <sheetFormatPr defaultRowHeight="15"/>
  <cols>
    <col min="1" max="1" width="14" hidden="0" customWidth="1"/>
    <col min="2" max="2" width="14" hidden="0" customWidth="1"/>
    <col min="3" max="3" width="14" hidden="0" customWidth="1"/>
    <col min="4" max="4" width="14" hidden="0" customWidth="1"/>
    <col min="5" max="5" width="14" hidden="0" customWidth="1"/>
    <col min="6" max="6" width="14" hidden="0" customWidth="1"/>
    <col min="7" max="7" width="14" hidden="0" customWidth="1"/>
    <col min="8" max="8" width="14" hidden="0" customWidth="1"/>
  </cols>
  <sheetData>
    <row r="1" ht="12" customHeight="1">
      <c r="A1" s="28"/>
      <c r="B1" s="28"/>
      <c r="C1" s="28"/>
      <c r="D1" s="28"/>
      <c r="E1" s="28"/>
      <c r="F1" s="28"/>
      <c r="G1" s="28"/>
      <c r="H1" s="28"/>
    </row>
    <row r="2" ht="35" customHeight="1">
      <c r="A2" s="33" t="str">
        <v>B2B research · International</v>
      </c>
      <c r="B2" s="33"/>
      <c r="C2" s="33"/>
      <c r="D2" s="33"/>
      <c r="E2" s="33"/>
      <c r="F2" s="33"/>
      <c r="G2" s="33"/>
      <c r="H2" s="33"/>
    </row>
    <row r="3" ht="30" customHeight="1">
      <c r="A3" s="32" t="str">
        <v>Ansar Kilash  /  15 accounts  /  Demonstration research</v>
      </c>
      <c r="B3" s="32"/>
      <c r="C3" s="32"/>
      <c r="D3" s="32"/>
      <c r="E3" s="32"/>
      <c r="F3" s="32"/>
      <c r="G3" s="32"/>
      <c r="H3" s="32"/>
    </row>
    <row r="4" ht="23" customHeight="1">
      <c r="A4" s="28"/>
      <c r="B4" s="28"/>
      <c r="C4" s="28"/>
      <c r="D4" s="28"/>
      <c r="E4" s="28"/>
      <c r="F4" s="28"/>
      <c r="G4" s="28"/>
      <c r="H4" s="28"/>
    </row>
    <row r="5" ht="21" customHeight="1">
      <c r="A5" s="35" t="str">
        <v>Total accounts</v>
      </c>
      <c r="B5" s="35"/>
      <c r="C5" s="35" t="str">
        <v>A · research first</v>
      </c>
      <c r="D5" s="35"/>
      <c r="E5" s="35" t="str">
        <v>B · qualify</v>
      </c>
      <c r="F5" s="35"/>
      <c r="G5" s="35" t="str">
        <v>C · enrich</v>
      </c>
      <c r="H5" s="35"/>
    </row>
    <row r="6" ht="23" customHeight="1">
      <c r="A6" s="39" t="n">
        <f>COUNTA('Prospects'!A2:A16)</f>
        <v>15</v>
      </c>
      <c r="B6" s="39"/>
      <c r="C6" s="43" t="n">
        <f>COUNTIFS('Prospects'!N2:N16,"&gt;=80")</f>
        <v>7</v>
      </c>
      <c r="D6" s="43"/>
      <c r="E6" s="47" t="n">
        <f>COUNTIFS('Prospects'!N2:N16,"&gt;=60",'Prospects'!N2:N16,"&lt;80")</f>
        <v>5</v>
      </c>
      <c r="F6" s="47"/>
      <c r="G6" s="51" t="n">
        <f>COUNTIFS('Prospects'!N2:N16,"&lt;60")</f>
        <v>3</v>
      </c>
      <c r="H6" s="51"/>
    </row>
    <row r="7" ht="23" customHeight="1">
      <c r="A7" s="39"/>
      <c r="B7" s="39"/>
      <c r="C7" s="43"/>
      <c r="D7" s="43"/>
      <c r="E7" s="47"/>
      <c r="F7" s="47"/>
      <c r="G7" s="51"/>
      <c r="H7" s="51"/>
    </row>
    <row r="8" ht="23" customHeight="1">
      <c r="A8" s="28"/>
      <c r="B8" s="28"/>
      <c r="C8" s="28"/>
      <c r="D8" s="28"/>
      <c r="E8" s="28"/>
      <c r="F8" s="28"/>
      <c r="G8" s="28"/>
      <c r="H8" s="28"/>
    </row>
    <row r="9" ht="21" customHeight="1">
      <c r="A9" s="35" t="str">
        <v>START HERE</v>
      </c>
      <c r="B9" s="35"/>
      <c r="C9" s="35"/>
      <c r="D9" s="35"/>
      <c r="E9" s="35"/>
      <c r="F9" s="35"/>
      <c r="G9" s="35"/>
      <c r="H9" s="35"/>
    </row>
    <row r="10" ht="30" customHeight="1">
      <c r="A10" s="53" t="str">
        <v>01   Account list →</v>
      </c>
      <c r="B10" s="53"/>
      <c r="C10" s="53"/>
      <c r="D10" s="53"/>
      <c r="E10" s="32" t="str">
        <v>Compare accounts, fit scores and contact access. Use the filters in the column headers.</v>
      </c>
      <c r="F10" s="32"/>
      <c r="G10" s="32"/>
      <c r="H10" s="32"/>
    </row>
    <row r="11" ht="30" customHeight="1">
      <c r="A11" s="53"/>
      <c r="B11" s="53"/>
      <c r="C11" s="53"/>
      <c r="D11" s="53"/>
      <c r="E11" s="32"/>
      <c r="F11" s="32"/>
      <c r="G11" s="32"/>
      <c r="H11" s="32"/>
    </row>
    <row r="12" ht="23" customHeight="1">
      <c r="A12" s="28"/>
      <c r="B12" s="28"/>
      <c r="C12" s="28"/>
      <c r="D12" s="28"/>
      <c r="E12" s="28"/>
      <c r="F12" s="28"/>
      <c r="G12" s="28"/>
      <c r="H12" s="28"/>
    </row>
    <row r="13" ht="30" customHeight="1">
      <c r="A13" s="53" t="str">
        <v>02   Account card →</v>
      </c>
      <c r="B13" s="53"/>
      <c r="C13" s="53"/>
      <c r="D13" s="53"/>
      <c r="E13" s="32" t="str">
        <v>Select an account in the amber field. Facts, contact route, limitations and sources update automatically.</v>
      </c>
      <c r="F13" s="32"/>
      <c r="G13" s="32"/>
      <c r="H13" s="32"/>
    </row>
    <row r="14" ht="30" customHeight="1">
      <c r="A14" s="53"/>
      <c r="B14" s="53"/>
      <c r="C14" s="53"/>
      <c r="D14" s="53"/>
      <c r="E14" s="32"/>
      <c r="F14" s="32"/>
      <c r="G14" s="32"/>
      <c r="H14" s="32"/>
    </row>
    <row r="15" ht="23" customHeight="1">
      <c r="A15" s="28"/>
      <c r="B15" s="28"/>
      <c r="C15" s="28"/>
      <c r="D15" s="28"/>
      <c r="E15" s="28"/>
      <c r="F15" s="28"/>
      <c r="G15" s="28"/>
      <c r="H15" s="28"/>
    </row>
    <row r="16" ht="30" customHeight="1">
      <c r="A16" s="53" t="str">
        <v>03   Outreach examples →</v>
      </c>
      <c r="B16" s="53"/>
      <c r="C16" s="53"/>
      <c r="D16" s="53"/>
      <c r="E16" s="32" t="str">
        <v>First message, follow-up, qualification and meeting handoff. All examples are drafts.</v>
      </c>
      <c r="F16" s="32"/>
      <c r="G16" s="32"/>
      <c r="H16" s="32"/>
    </row>
    <row r="17" ht="30" customHeight="1">
      <c r="A17" s="53"/>
      <c r="B17" s="53"/>
      <c r="C17" s="53"/>
      <c r="D17" s="53"/>
      <c r="E17" s="32"/>
      <c r="F17" s="32"/>
      <c r="G17" s="32"/>
      <c r="H17" s="32"/>
    </row>
    <row r="18" ht="23" customHeight="1">
      <c r="A18" s="28"/>
      <c r="B18" s="28"/>
      <c r="C18" s="28"/>
      <c r="D18" s="28"/>
      <c r="E18" s="28"/>
      <c r="F18" s="28"/>
      <c r="G18" s="28"/>
      <c r="H18" s="28"/>
    </row>
    <row r="19" ht="21" customHeight="1">
      <c r="A19" s="35" t="str">
        <v>HOW TO READ THE SCORE</v>
      </c>
      <c r="B19" s="35"/>
      <c r="C19" s="35"/>
      <c r="D19" s="35"/>
      <c r="E19" s="35"/>
      <c r="F19" s="35"/>
      <c r="G19" s="35"/>
      <c r="H19" s="35"/>
    </row>
    <row r="20" ht="23" customHeight="1">
      <c r="A20" s="54" t="str">
        <v>A: 80–100 · research first     B: 60–79 · qualify     C: below 60 · enrich
The score is a research priority, not evidence that an account is ready to buy.</v>
      </c>
      <c r="B20" s="54"/>
      <c r="C20" s="54"/>
      <c r="D20" s="54"/>
      <c r="E20" s="54"/>
      <c r="F20" s="54"/>
      <c r="G20" s="54"/>
      <c r="H20" s="54"/>
    </row>
    <row r="21" ht="23" customHeight="1">
      <c r="A21" s="54"/>
      <c r="B21" s="54"/>
      <c r="C21" s="54"/>
      <c r="D21" s="54"/>
      <c r="E21" s="54"/>
      <c r="F21" s="54"/>
      <c r="G21" s="54"/>
      <c r="H21" s="54"/>
    </row>
    <row r="22" ht="23" customHeight="1">
      <c r="A22" s="28"/>
      <c r="B22" s="28"/>
      <c r="C22" s="28"/>
      <c r="D22" s="28"/>
      <c r="E22" s="28"/>
      <c r="F22" s="28"/>
      <c r="G22" s="28"/>
      <c r="H22" s="28"/>
    </row>
    <row r="23" ht="30" customHeight="1">
      <c r="A23" s="53" t="str">
        <v>Scoring rules &amp; methodology →</v>
      </c>
      <c r="B23" s="53"/>
      <c r="C23" s="53"/>
      <c r="D23" s="53"/>
      <c r="E23" s="53" t="str">
        <v>Full source data →</v>
      </c>
      <c r="F23" s="53"/>
      <c r="G23" s="53"/>
      <c r="H23" s="53"/>
    </row>
    <row r="24" ht="23" customHeight="1">
      <c r="A24" s="28"/>
      <c r="B24" s="28"/>
      <c r="C24" s="28"/>
      <c r="D24" s="28"/>
      <c r="E24" s="28"/>
      <c r="F24" s="28"/>
      <c r="G24" s="28"/>
      <c r="H24" s="28"/>
    </row>
    <row r="25" ht="21" customHeight="1">
      <c r="A25" s="35" t="str">
        <v>SCOPE OF THIS SAMPLE</v>
      </c>
      <c r="B25" s="35"/>
      <c r="C25" s="35"/>
      <c r="D25" s="35"/>
      <c r="E25" s="35"/>
      <c r="F25" s="35"/>
      <c r="G25" s="35"/>
      <c r="H25" s="35"/>
    </row>
    <row r="26" ht="23" customHeight="1">
      <c r="A26" s="56" t="str">
        <v>Prepared for this portfolio with AI assistance; not a previous client engagement. No outreach was sent. Email deliverability and phone activity were not tested. Public routes do not establish a verified decision-maker.</v>
      </c>
      <c r="B26" s="56"/>
      <c r="C26" s="56"/>
      <c r="D26" s="56"/>
      <c r="E26" s="56"/>
      <c r="F26" s="56"/>
      <c r="G26" s="56"/>
      <c r="H26" s="56"/>
    </row>
    <row r="27" ht="23" customHeight="1">
      <c r="A27" s="56"/>
      <c r="B27" s="56"/>
      <c r="C27" s="56"/>
      <c r="D27" s="56"/>
      <c r="E27" s="56"/>
      <c r="F27" s="56"/>
      <c r="G27" s="56"/>
      <c r="H27" s="56"/>
    </row>
    <row r="28" ht="23" customHeight="1">
      <c r="A28" s="56"/>
      <c r="B28" s="56"/>
      <c r="C28" s="56"/>
      <c r="D28" s="56"/>
      <c r="E28" s="56"/>
      <c r="F28" s="56"/>
      <c r="G28" s="56"/>
      <c r="H28" s="56"/>
    </row>
    <row r="29" ht="23" customHeight="1">
      <c r="A29" s="28"/>
      <c r="B29" s="28"/>
      <c r="C29" s="28"/>
      <c r="D29" s="28"/>
      <c r="E29" s="28"/>
      <c r="F29" s="28"/>
      <c r="G29" s="28"/>
      <c r="H29" s="28"/>
    </row>
    <row r="30" ht="21" customHeight="1">
      <c r="A30" s="35" t="str">
        <v>Source access date</v>
      </c>
      <c r="B30" s="35"/>
      <c r="C30" s="35"/>
      <c r="D30" s="35"/>
      <c r="E30" s="58" t="d">
        <v>2026-10-13T12:00:00.000Z</v>
      </c>
      <c r="F30" s="57"/>
      <c r="G30" s="57"/>
      <c r="H30" s="57"/>
    </row>
    <row r="31" ht="23" customHeight="1">
      <c r="A31" s="28"/>
      <c r="B31" s="28"/>
      <c r="C31" s="28"/>
      <c r="D31" s="28"/>
      <c r="E31" s="28"/>
      <c r="F31" s="28"/>
      <c r="G31" s="28"/>
      <c r="H31" s="28"/>
    </row>
    <row r="32" ht="23" customHeight="1">
      <c r="A32" s="28"/>
      <c r="B32" s="28"/>
      <c r="C32" s="28"/>
      <c r="D32" s="28"/>
      <c r="E32" s="28"/>
      <c r="F32" s="28"/>
      <c r="G32" s="28"/>
      <c r="H32" s="28"/>
    </row>
    <row r="33" ht="23" customHeight="1">
      <c r="A33" s="28"/>
      <c r="B33" s="28"/>
      <c r="C33" s="28"/>
      <c r="D33" s="28"/>
      <c r="E33" s="28"/>
      <c r="F33" s="28"/>
      <c r="G33" s="28"/>
      <c r="H33" s="28"/>
    </row>
    <row r="34" ht="23" customHeight="1">
      <c r="A34" s="28"/>
      <c r="B34" s="28"/>
      <c r="C34" s="28"/>
      <c r="D34" s="28"/>
      <c r="E34" s="28"/>
      <c r="F34" s="28"/>
      <c r="G34" s="28"/>
      <c r="H34" s="28"/>
    </row>
    <row r="35" ht="23" customHeight="1">
      <c r="A35" s="28"/>
      <c r="B35" s="28"/>
      <c r="C35" s="28"/>
      <c r="D35" s="28"/>
      <c r="E35" s="28"/>
      <c r="F35" s="28"/>
      <c r="G35" s="28"/>
      <c r="H35" s="28"/>
    </row>
  </sheetData>
  <mergeCells>
    <mergeCell ref="A2:H2"/>
    <mergeCell ref="A3:H3"/>
    <mergeCell ref="A5:B5"/>
    <mergeCell ref="A6:B7"/>
    <mergeCell ref="C5:D5"/>
    <mergeCell ref="C6:D7"/>
    <mergeCell ref="E5:F5"/>
    <mergeCell ref="E6:F7"/>
    <mergeCell ref="G5:H5"/>
    <mergeCell ref="G6:H7"/>
    <mergeCell ref="A9:H9"/>
    <mergeCell ref="A10:D11"/>
    <mergeCell ref="E10:H11"/>
    <mergeCell ref="A13:D14"/>
    <mergeCell ref="E13:H14"/>
    <mergeCell ref="A16:D17"/>
    <mergeCell ref="E16:H17"/>
    <mergeCell ref="A19:H19"/>
    <mergeCell ref="A20:H21"/>
    <mergeCell ref="A23:D23"/>
    <mergeCell ref="E23:H23"/>
    <mergeCell ref="A25:H25"/>
    <mergeCell ref="A26:H28"/>
    <mergeCell ref="A30:D30"/>
    <mergeCell ref="E30:H30"/>
  </mergeCells>
  <hyperlinks>
    <hyperlink ref="A10" location="'Account list'!A1" display="01   Account list →"/>
    <hyperlink ref="A13" location="'Account card'!A1" display="02   Account card →"/>
    <hyperlink ref="A16" location="'Outreach'!A1" display="03   Outreach examples →"/>
    <hyperlink ref="A23" location="'Read me'!A1" display="Scoring rules &amp; methodology →"/>
    <hyperlink ref="E23" location="'Prospects'!A1" display="Full source data →"/>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678E56"/>
  </sheetPr>
  <sheetViews>
    <sheetView showGridLines="0" workbookViewId="0">
      <pane xSplit="2" ySplit="5" topLeftCell="C6" activePane="bottomRight" state="frozen"/>
    </sheetView>
  </sheetViews>
  <sheetFormatPr defaultRowHeight="15"/>
  <cols>
    <col min="1" max="1" width="10" hidden="0" customWidth="1"/>
    <col min="2" max="2" width="24" hidden="0" customWidth="1"/>
    <col min="3" max="3" width="22" hidden="0" customWidth="1"/>
    <col min="4" max="4" width="10" hidden="0" customWidth="1"/>
    <col min="5" max="5" width="22" hidden="0" customWidth="1"/>
    <col min="6" max="6" width="24" hidden="0" customWidth="1"/>
    <col min="7" max="7" width="30" hidden="0" customWidth="1"/>
    <col min="8" max="8" width="17" hidden="0" customWidth="1"/>
  </cols>
  <sheetData>
    <row r="1" ht="12" customHeight="1">
      <c r="A1" s="28"/>
      <c r="B1" s="28"/>
      <c r="C1" s="28"/>
      <c r="D1" s="28"/>
      <c r="E1" s="28"/>
      <c r="F1" s="28"/>
      <c r="G1" s="28"/>
      <c r="H1" s="28"/>
    </row>
    <row r="2" ht="35" customHeight="1">
      <c r="A2" s="33" t="str">
        <v>Account list</v>
      </c>
      <c r="B2" s="33"/>
      <c r="C2" s="33"/>
      <c r="D2" s="33"/>
      <c r="E2" s="33"/>
      <c r="F2" s="33"/>
      <c r="G2" s="33"/>
      <c r="H2" s="33"/>
    </row>
    <row r="3" ht="30" customHeight="1">
      <c r="A3" s="32" t="str">
        <v>1. Filter the list    2. Compare scores    3. Open the Account card sheet</v>
      </c>
      <c r="B3" s="32"/>
      <c r="C3" s="32"/>
      <c r="D3" s="32"/>
      <c r="E3" s="32"/>
      <c r="F3" s="32"/>
      <c r="G3" s="32"/>
      <c r="H3" s="32"/>
    </row>
    <row r="4" ht="23" customHeight="1">
      <c r="A4" s="28"/>
      <c r="B4" s="28"/>
      <c r="C4" s="28"/>
      <c r="D4" s="28"/>
      <c r="E4" s="28"/>
      <c r="F4" s="28"/>
      <c r="G4" s="28"/>
      <c r="H4" s="28"/>
    </row>
    <row r="5" ht="36" customHeight="1">
      <c r="A5" s="62" t="str">
        <v>ID</v>
      </c>
      <c r="B5" s="62" t="str">
        <v>Company</v>
      </c>
      <c r="C5" s="62" t="str">
        <v>Segment</v>
      </c>
      <c r="D5" s="62" t="str">
        <v>Fit /100</v>
      </c>
      <c r="E5" s="62" t="str">
        <v>Priority</v>
      </c>
      <c r="F5" s="62" t="str">
        <v>Contact route</v>
      </c>
      <c r="G5" s="62" t="str">
        <v>What to qualify</v>
      </c>
      <c r="H5" s="62" t="str">
        <v>Status</v>
      </c>
    </row>
    <row r="6" ht="53" customHeight="1">
      <c r="A6" s="63" t="str">
        <f>'Prospects'!A2</f>
        <v>INT-01</v>
      </c>
      <c r="B6" s="63" t="str">
        <f>'Prospects'!B2</f>
        <v>Pipedrive</v>
      </c>
      <c r="C6" s="63" t="str">
        <f>'Prospects'!D2</f>
        <v>CRM</v>
      </c>
      <c r="D6" s="69" t="n">
        <f>'Prospects'!N2</f>
        <v>76</v>
      </c>
      <c r="E6" s="63" t="str">
        <f>'Prospects'!O2</f>
        <v>B — qualify</v>
      </c>
      <c r="F6" s="63" t="str">
        <f>'Prospects'!I2</f>
        <v>General / partner link</v>
      </c>
      <c r="G6" s="63" t="str">
        <f>'Prospects'!R2</f>
        <v>Mature sales team; a narrow territory pilot needs justification.</v>
      </c>
      <c r="H6" s="63" t="str">
        <f>'Prospects'!V2</f>
        <v>Not contacted</v>
      </c>
    </row>
    <row r="7" ht="53" customHeight="1">
      <c r="A7" s="64" t="str">
        <f>'Prospects'!A3</f>
        <v>INT-02</v>
      </c>
      <c r="B7" s="64" t="str">
        <f>'Prospects'!B3</f>
        <v>Close</v>
      </c>
      <c r="C7" s="64" t="str">
        <f>'Prospects'!D3</f>
        <v>CRM</v>
      </c>
      <c r="D7" s="70" t="n">
        <f>'Prospects'!N3</f>
        <v>76</v>
      </c>
      <c r="E7" s="64" t="str">
        <f>'Prospects'!O3</f>
        <v>B — qualify</v>
      </c>
      <c r="F7" s="64" t="str">
        <f>'Prospects'!I3</f>
        <v>General / partner link</v>
      </c>
      <c r="G7" s="64" t="str">
        <f>'Prospects'!R3</f>
        <v>Built-in prospecting automation may reduce generic research demand.</v>
      </c>
      <c r="H7" s="64" t="str">
        <f>'Prospects'!V3</f>
        <v>Not contacted</v>
      </c>
    </row>
    <row r="8" ht="53" customHeight="1">
      <c r="A8" s="63" t="str">
        <f>'Prospects'!A4</f>
        <v>INT-03</v>
      </c>
      <c r="B8" s="63" t="str">
        <f>'Prospects'!B4</f>
        <v>Attio</v>
      </c>
      <c r="C8" s="63" t="str">
        <f>'Prospects'!D4</f>
        <v>CRM</v>
      </c>
      <c r="D8" s="69" t="n">
        <f>'Prospects'!N4</f>
        <v>80</v>
      </c>
      <c r="E8" s="63" t="str">
        <f>'Prospects'!O4</f>
        <v>A — research first</v>
      </c>
      <c r="F8" s="63" t="str">
        <f>'Prospects'!I4</f>
        <v>Form / general business contact</v>
      </c>
      <c r="G8" s="63" t="str">
        <f>'Prospects'!R4</f>
        <v>Enrichment is a core capability; differentiation must be specific.</v>
      </c>
      <c r="H8" s="63" t="str">
        <f>'Prospects'!V4</f>
        <v>Not contacted</v>
      </c>
    </row>
    <row r="9" ht="53" customHeight="1">
      <c r="A9" s="64" t="str">
        <f>'Prospects'!A5</f>
        <v>INT-04</v>
      </c>
      <c r="B9" s="64" t="str">
        <f>'Prospects'!B5</f>
        <v>Front</v>
      </c>
      <c r="C9" s="64" t="str">
        <f>'Prospects'!D5</f>
        <v>Customer service</v>
      </c>
      <c r="D9" s="70" t="n">
        <f>'Prospects'!N5</f>
        <v>82</v>
      </c>
      <c r="E9" s="64" t="str">
        <f>'Prospects'!O5</f>
        <v>A — research first</v>
      </c>
      <c r="F9" s="64" t="str">
        <f>'Prospects'!I5</f>
        <v>General / partner link</v>
      </c>
      <c r="G9" s="64" t="str">
        <f>'Prospects'!R5</f>
        <v>Use case is visible; buying intent and outsourcing policy unknown.</v>
      </c>
      <c r="H9" s="64" t="str">
        <f>'Prospects'!V5</f>
        <v>Not contacted</v>
      </c>
    </row>
    <row r="10" ht="53" customHeight="1">
      <c r="A10" s="63" t="str">
        <f>'Prospects'!A6</f>
        <v>INT-05</v>
      </c>
      <c r="B10" s="63" t="str">
        <f>'Prospects'!B6</f>
        <v>Intercom</v>
      </c>
      <c r="C10" s="63" t="str">
        <f>'Prospects'!D6</f>
        <v>Customer service</v>
      </c>
      <c r="D10" s="69" t="n">
        <f>'Prospects'!N6</f>
        <v>76</v>
      </c>
      <c r="E10" s="63" t="str">
        <f>'Prospects'!O6</f>
        <v>B — qualify</v>
      </c>
      <c r="F10" s="63" t="str">
        <f>'Prospects'!I6</f>
        <v>General / partner link</v>
      </c>
      <c r="G10" s="63" t="str">
        <f>'Prospects'!R6</f>
        <v>Large vendor; avoid sending a generic lead-list pitch to press.</v>
      </c>
      <c r="H10" s="63" t="str">
        <f>'Prospects'!V6</f>
        <v>Not contacted</v>
      </c>
    </row>
    <row r="11" ht="53" customHeight="1">
      <c r="A11" s="64" t="str">
        <f>'Prospects'!A7</f>
        <v>INT-06</v>
      </c>
      <c r="B11" s="64" t="str">
        <f>'Prospects'!B7</f>
        <v>Customer.io</v>
      </c>
      <c r="C11" s="64" t="str">
        <f>'Prospects'!D7</f>
        <v>Customer engagement</v>
      </c>
      <c r="D11" s="70" t="n">
        <f>'Prospects'!N7</f>
        <v>86</v>
      </c>
      <c r="E11" s="64" t="str">
        <f>'Prospects'!O7</f>
        <v>A — research first</v>
      </c>
      <c r="F11" s="64" t="str">
        <f>'Prospects'!I7</f>
        <v>Form / general business contact</v>
      </c>
      <c r="G11" s="64" t="str">
        <f>'Prospects'!R7</f>
        <v>Existing data stack and agency relationships are not known.</v>
      </c>
      <c r="H11" s="64" t="str">
        <f>'Prospects'!V7</f>
        <v>Not contacted</v>
      </c>
    </row>
    <row r="12" ht="53" customHeight="1">
      <c r="A12" s="63" t="str">
        <f>'Prospects'!A8</f>
        <v>INT-07</v>
      </c>
      <c r="B12" s="63" t="str">
        <f>'Prospects'!B8</f>
        <v>Aircall</v>
      </c>
      <c r="C12" s="63" t="str">
        <f>'Prospects'!D8</f>
        <v>Business communications</v>
      </c>
      <c r="D12" s="69" t="n">
        <f>'Prospects'!N8</f>
        <v>86</v>
      </c>
      <c r="E12" s="63" t="str">
        <f>'Prospects'!O8</f>
        <v>A — research first</v>
      </c>
      <c r="F12" s="63" t="str">
        <f>'Prospects'!I8</f>
        <v>Form / general business contact</v>
      </c>
      <c r="G12" s="63" t="str">
        <f>'Prospects'!R8</f>
        <v>Geographic coverage and vendor requirements need qualification.</v>
      </c>
      <c r="H12" s="63" t="str">
        <f>'Prospects'!V8</f>
        <v>Not contacted</v>
      </c>
    </row>
    <row r="13" ht="53" customHeight="1">
      <c r="A13" s="64" t="str">
        <f>'Prospects'!A9</f>
        <v>INT-08</v>
      </c>
      <c r="B13" s="64" t="str">
        <f>'Prospects'!B9</f>
        <v>lemlist</v>
      </c>
      <c r="C13" s="64" t="str">
        <f>'Prospects'!D9</f>
        <v>Sales engagement</v>
      </c>
      <c r="D13" s="70" t="n">
        <f>'Prospects'!N9</f>
        <v>80</v>
      </c>
      <c r="E13" s="64" t="str">
        <f>'Prospects'!O9</f>
        <v>A — research first</v>
      </c>
      <c r="F13" s="64" t="str">
        <f>'Prospects'!I9</f>
        <v>Form / general business contact</v>
      </c>
      <c r="G13" s="64" t="str">
        <f>'Prospects'!R9</f>
        <v>Research competes with built-in data; offer a narrow manual layer.</v>
      </c>
      <c r="H13" s="64" t="str">
        <f>'Prospects'!V9</f>
        <v>Not contacted</v>
      </c>
    </row>
    <row r="14" ht="53" customHeight="1">
      <c r="A14" s="63" t="str">
        <f>'Prospects'!A10</f>
        <v>INT-09</v>
      </c>
      <c r="B14" s="63" t="str">
        <f>'Prospects'!B10</f>
        <v>Apollo</v>
      </c>
      <c r="C14" s="63" t="str">
        <f>'Prospects'!D10</f>
        <v>Sales intelligence</v>
      </c>
      <c r="D14" s="69" t="n">
        <f>'Prospects'!N10</f>
        <v>52</v>
      </c>
      <c r="E14" s="63" t="str">
        <f>'Prospects'!O10</f>
        <v>C — enrich</v>
      </c>
      <c r="F14" s="63" t="str">
        <f>'Prospects'!I10</f>
        <v>Not established</v>
      </c>
      <c r="G14" s="63" t="str">
        <f>'Prospects'!R10</f>
        <v>Direct overlap with core product; low differentiation for generic lists.</v>
      </c>
      <c r="H14" s="63" t="str">
        <f>'Prospects'!V10</f>
        <v>Not contacted</v>
      </c>
    </row>
    <row r="15" ht="53" customHeight="1">
      <c r="A15" s="64" t="str">
        <f>'Prospects'!A11</f>
        <v>INT-10</v>
      </c>
      <c r="B15" s="64" t="str">
        <f>'Prospects'!B11</f>
        <v>Cognism</v>
      </c>
      <c r="C15" s="64" t="str">
        <f>'Prospects'!D11</f>
        <v>Sales intelligence</v>
      </c>
      <c r="D15" s="70" t="n">
        <f>'Prospects'!N11</f>
        <v>52</v>
      </c>
      <c r="E15" s="64" t="str">
        <f>'Prospects'!O11</f>
        <v>C — enrich</v>
      </c>
      <c r="F15" s="64" t="str">
        <f>'Prospects'!I11</f>
        <v>Not established</v>
      </c>
      <c r="G15" s="64" t="str">
        <f>'Prospects'!R11</f>
        <v>Core product already supplies research data; demand is unproven.</v>
      </c>
      <c r="H15" s="64" t="str">
        <f>'Prospects'!V11</f>
        <v>Not contacted</v>
      </c>
    </row>
    <row r="16" ht="53" customHeight="1">
      <c r="A16" s="63" t="str">
        <f>'Prospects'!A12</f>
        <v>INT-11</v>
      </c>
      <c r="B16" s="63" t="str">
        <f>'Prospects'!B12</f>
        <v>Surfe</v>
      </c>
      <c r="C16" s="63" t="str">
        <f>'Prospects'!D12</f>
        <v>Data enrichment</v>
      </c>
      <c r="D16" s="69" t="n">
        <f>'Prospects'!N12</f>
        <v>52</v>
      </c>
      <c r="E16" s="63" t="str">
        <f>'Prospects'!O12</f>
        <v>C — enrich</v>
      </c>
      <c r="F16" s="63" t="str">
        <f>'Prospects'!I12</f>
        <v>Not established</v>
      </c>
      <c r="G16" s="63" t="str">
        <f>'Prospects'!R12</f>
        <v>Strong product overlap; no claim that it needs a lead-list vendor.</v>
      </c>
      <c r="H16" s="63" t="str">
        <f>'Prospects'!V12</f>
        <v>Not contacted</v>
      </c>
    </row>
    <row r="17" ht="53" customHeight="1">
      <c r="A17" s="64" t="str">
        <f>'Prospects'!A13</f>
        <v>INT-12</v>
      </c>
      <c r="B17" s="64" t="str">
        <f>'Prospects'!B13</f>
        <v>Reply.io</v>
      </c>
      <c r="C17" s="64" t="str">
        <f>'Prospects'!D13</f>
        <v>Sales engagement</v>
      </c>
      <c r="D17" s="70" t="n">
        <f>'Prospects'!N13</f>
        <v>76</v>
      </c>
      <c r="E17" s="64" t="str">
        <f>'Prospects'!O13</f>
        <v>B — qualify</v>
      </c>
      <c r="F17" s="64" t="str">
        <f>'Prospects'!I13</f>
        <v>General / partner link</v>
      </c>
      <c r="G17" s="64" t="str">
        <f>'Prospects'!R13</f>
        <v>Automated prospecting overlap; service positioning needs validation.</v>
      </c>
      <c r="H17" s="64" t="str">
        <f>'Prospects'!V13</f>
        <v>Not contacted</v>
      </c>
    </row>
    <row r="18" ht="53" customHeight="1">
      <c r="A18" s="63" t="str">
        <f>'Prospects'!A14</f>
        <v>INT-13</v>
      </c>
      <c r="B18" s="63" t="str">
        <f>'Prospects'!B14</f>
        <v>PandaDoc</v>
      </c>
      <c r="C18" s="63" t="str">
        <f>'Prospects'!D14</f>
        <v>Document SaaS</v>
      </c>
      <c r="D18" s="69" t="n">
        <f>'Prospects'!N14</f>
        <v>70</v>
      </c>
      <c r="E18" s="63" t="str">
        <f>'Prospects'!O14</f>
        <v>B — qualify</v>
      </c>
      <c r="F18" s="63" t="str">
        <f>'Prospects'!I14</f>
        <v>Not established</v>
      </c>
      <c r="G18" s="63" t="str">
        <f>'Prospects'!R14</f>
        <v>Implementation ecosystem and target territory require confirmation.</v>
      </c>
      <c r="H18" s="63" t="str">
        <f>'Prospects'!V14</f>
        <v>Not contacted</v>
      </c>
    </row>
    <row r="19" ht="53" customHeight="1">
      <c r="A19" s="64" t="str">
        <f>'Prospects'!A15</f>
        <v>INT-14</v>
      </c>
      <c r="B19" s="64" t="str">
        <f>'Prospects'!B15</f>
        <v>DocSend / Dropbox</v>
      </c>
      <c r="C19" s="64" t="str">
        <f>'Prospects'!D15</f>
        <v>Document SaaS</v>
      </c>
      <c r="D19" s="70" t="n">
        <f>'Prospects'!N15</f>
        <v>80</v>
      </c>
      <c r="E19" s="64" t="str">
        <f>'Prospects'!O15</f>
        <v>A — research first</v>
      </c>
      <c r="F19" s="64" t="str">
        <f>'Prospects'!I15</f>
        <v>Form / general business contact</v>
      </c>
      <c r="G19" s="64" t="str">
        <f>'Prospects'!R15</f>
        <v>Brand-level account; do not duplicate Dropbox in the same list.</v>
      </c>
      <c r="H19" s="64" t="str">
        <f>'Prospects'!V15</f>
        <v>Not contacted</v>
      </c>
    </row>
    <row r="20" ht="53" customHeight="1">
      <c r="A20" s="63" t="str">
        <f>'Prospects'!A16</f>
        <v>INT-15</v>
      </c>
      <c r="B20" s="63" t="str">
        <f>'Prospects'!B16</f>
        <v>Chili Piper</v>
      </c>
      <c r="C20" s="63" t="str">
        <f>'Prospects'!D16</f>
        <v>Revenue operations</v>
      </c>
      <c r="D20" s="69" t="n">
        <f>'Prospects'!N16</f>
        <v>82</v>
      </c>
      <c r="E20" s="63" t="str">
        <f>'Prospects'!O16</f>
        <v>A — research first</v>
      </c>
      <c r="F20" s="63" t="str">
        <f>'Prospects'!I16</f>
        <v>General / partner link</v>
      </c>
      <c r="G20" s="63" t="str">
        <f>'Prospects'!R16</f>
        <v>Visible use case is not evidence of an open role or purchase.</v>
      </c>
      <c r="H20" s="63" t="str">
        <f>'Prospects'!V16</f>
        <v>Not contacted</v>
      </c>
    </row>
    <row r="21" ht="23" customHeight="1">
      <c r="A21" s="28"/>
      <c r="B21" s="28"/>
      <c r="C21" s="28"/>
      <c r="D21" s="28"/>
      <c r="E21" s="28"/>
      <c r="F21" s="28"/>
      <c r="G21" s="28"/>
      <c r="H21" s="28"/>
    </row>
    <row r="22" ht="30" customHeight="1">
      <c r="A22" s="53" t="str">
        <v>Open account card →</v>
      </c>
      <c r="B22" s="53"/>
      <c r="C22" s="53"/>
      <c r="D22" s="28"/>
      <c r="E22" s="53" t="str">
        <v>Back to overview →</v>
      </c>
      <c r="F22" s="53"/>
      <c r="G22" s="53"/>
      <c r="H22" s="53"/>
    </row>
    <row r="23" ht="23" customHeight="1">
      <c r="A23" s="28"/>
      <c r="B23" s="28"/>
      <c r="C23" s="28"/>
      <c r="D23" s="28"/>
      <c r="E23" s="28"/>
      <c r="F23" s="28"/>
      <c r="G23" s="28"/>
      <c r="H23" s="28"/>
    </row>
    <row r="24" ht="23" customHeight="1">
      <c r="A24" s="32" t="str">
        <v>This view links to the full data. To edit a status or score, use the Prospects sheet.</v>
      </c>
      <c r="B24" s="32"/>
      <c r="C24" s="32"/>
      <c r="D24" s="32"/>
      <c r="E24" s="32"/>
      <c r="F24" s="32"/>
      <c r="G24" s="32"/>
      <c r="H24" s="32"/>
    </row>
  </sheetData>
  <mergeCells>
    <mergeCell ref="A2:H2"/>
    <mergeCell ref="A3:H3"/>
    <mergeCell ref="A22:C22"/>
    <mergeCell ref="E22:H22"/>
    <mergeCell ref="A24:H24"/>
  </mergeCells>
  <conditionalFormatting sqref="D6:D20">
    <cfRule type="colorScale" priority="1">
      <colorScale>
        <cfvo type="num" val="0"/>
        <cfvo type="num" val="60"/>
        <cfvo type="num" val="100"/>
        <color rgb="FFF6E4DC"/>
        <color rgb="FFFFF0C7"/>
        <color rgb="FFDCEACF"/>
      </colorScale>
    </cfRule>
  </conditionalFormatting>
  <conditionalFormatting sqref="E6:E20">
    <cfRule type="beginsWith" dxfId="0" priority="2" operator="beginsWith" text="A"/>
    <cfRule type="beginsWith" dxfId="1" priority="3" operator="beginsWith" text="B"/>
    <cfRule type="beginsWith" dxfId="2" priority="4" operator="beginsWith" text="C"/>
  </conditionalFormatting>
  <hyperlinks>
    <hyperlink ref="A22" location="'Account card'!A1" display="Open account card →"/>
    <hyperlink ref="E22" location="'Overview'!A1" display="Back to overview →"/>
  </hyperlinks>
  <pageMargins left="0.7" right="0.7" top="0.75" bottom="0.75" header="0.3" footer="0.3"/>
  <tableParts count="1">
    <tablePart r:id="R35021a24c43a4409"/>
  </tableParts>
</worksheet>
</file>

<file path=xl/worksheets/sheet3.xml><?xml version="1.0" encoding="utf-8"?>
<worksheet xmlns="http://schemas.openxmlformats.org/spreadsheetml/2006/main">
  <sheetPr>
    <tabColor rgb="FFA3BC87"/>
  </sheetPr>
  <sheetViews>
    <sheetView showGridLines="0" workbookViewId="0"/>
  </sheetViews>
  <sheetFormatPr defaultRowHeight="15"/>
  <cols>
    <col min="1" max="1" width="14" hidden="0" customWidth="1"/>
    <col min="2" max="2" width="14" hidden="0" customWidth="1"/>
    <col min="3" max="3" width="14" hidden="0" customWidth="1"/>
    <col min="4" max="4" width="14" hidden="0" customWidth="1"/>
    <col min="5" max="5" width="14" hidden="0" customWidth="1"/>
    <col min="6" max="6" width="14" hidden="0" customWidth="1"/>
    <col min="7" max="7" width="14" hidden="0" customWidth="1"/>
    <col min="8" max="8" width="14" hidden="0" customWidth="1"/>
  </cols>
  <sheetData>
    <row r="1" ht="12" customHeight="1">
      <c r="A1" s="28"/>
      <c r="B1" s="28"/>
      <c r="C1" s="28"/>
      <c r="D1" s="28"/>
      <c r="E1" s="28"/>
      <c r="F1" s="28"/>
      <c r="G1" s="28"/>
      <c r="H1" s="28"/>
    </row>
    <row r="2" ht="35" customHeight="1">
      <c r="A2" s="33" t="str">
        <v>Account card</v>
      </c>
      <c r="B2" s="33"/>
      <c r="C2" s="33"/>
      <c r="D2" s="33"/>
      <c r="E2" s="33"/>
      <c r="F2" s="33"/>
      <c r="G2" s="33"/>
      <c r="H2" s="33"/>
    </row>
    <row r="3" ht="30" customHeight="1">
      <c r="A3" s="32" t="str">
        <v>Choose an account in the amber field; the details below will update.</v>
      </c>
      <c r="B3" s="32"/>
      <c r="C3" s="32"/>
      <c r="D3" s="32"/>
      <c r="E3" s="32"/>
      <c r="F3" s="32"/>
      <c r="G3" s="32"/>
      <c r="H3" s="32"/>
    </row>
    <row r="4" ht="23" customHeight="1">
      <c r="A4" s="28"/>
      <c r="B4" s="28"/>
      <c r="C4" s="28"/>
      <c r="D4" s="28"/>
      <c r="E4" s="28"/>
      <c r="F4" s="28"/>
      <c r="G4" s="28"/>
      <c r="H4" s="28"/>
    </row>
    <row r="5" ht="34" customHeight="1">
      <c r="A5" s="35" t="str">
        <v>Account</v>
      </c>
      <c r="B5" s="72" t="str">
        <v>lemlist</v>
      </c>
      <c r="C5" s="72"/>
      <c r="D5" s="72"/>
      <c r="E5" s="72"/>
      <c r="F5" s="72"/>
      <c r="G5" s="72"/>
      <c r="H5" s="72"/>
    </row>
    <row r="6" ht="23" customHeight="1">
      <c r="A6" s="28"/>
      <c r="B6" s="28"/>
      <c r="C6" s="28"/>
      <c r="D6" s="28"/>
      <c r="E6" s="28"/>
      <c r="F6" s="28"/>
      <c r="G6" s="28"/>
      <c r="H6" s="28"/>
    </row>
    <row r="7" ht="21" customHeight="1">
      <c r="A7" s="35" t="str">
        <v>FIT /100</v>
      </c>
      <c r="B7" s="35"/>
      <c r="C7" s="35" t="str">
        <v>RESEARCH PRIORITY</v>
      </c>
      <c r="D7" s="35"/>
      <c r="E7" s="35"/>
      <c r="F7" s="35"/>
      <c r="G7" s="35"/>
      <c r="H7" s="35"/>
    </row>
    <row r="8" ht="23" customHeight="1">
      <c r="A8" s="43" t="n">
        <f>INDEX('Prospects'!$N$2:$N$16,MATCH($B$5,'Prospects'!$B$2:$B$16,0))</f>
        <v>80</v>
      </c>
      <c r="B8" s="43"/>
      <c r="C8" s="74" t="str">
        <f>INDEX('Prospects'!$O$2:$O$16,MATCH($B$5,'Prospects'!$B$2:$B$16,0))</f>
        <v>A — research first</v>
      </c>
      <c r="D8" s="74"/>
      <c r="E8" s="74"/>
      <c r="F8" s="74"/>
      <c r="G8" s="74"/>
      <c r="H8" s="74"/>
    </row>
    <row r="9" ht="23" customHeight="1">
      <c r="A9" s="43"/>
      <c r="B9" s="43"/>
      <c r="C9" s="74"/>
      <c r="D9" s="74"/>
      <c r="E9" s="74"/>
      <c r="F9" s="74"/>
      <c r="G9" s="74"/>
      <c r="H9" s="74"/>
    </row>
    <row r="10" ht="23" customHeight="1">
      <c r="A10" s="28"/>
      <c r="B10" s="28"/>
      <c r="C10" s="28"/>
      <c r="D10" s="28"/>
      <c r="E10" s="28"/>
      <c r="F10" s="28"/>
      <c r="G10" s="28"/>
      <c r="H10" s="28"/>
    </row>
    <row r="11" ht="21" customHeight="1">
      <c r="A11" s="35" t="str">
        <v>01   OBSERVED FACT</v>
      </c>
      <c r="B11" s="35"/>
      <c r="C11" s="35"/>
      <c r="D11" s="35"/>
      <c r="E11" s="35"/>
      <c r="F11" s="35"/>
      <c r="G11" s="35"/>
      <c r="H11" s="35"/>
    </row>
    <row r="12" ht="23" customHeight="1">
      <c r="A12" s="54" t="str">
        <f>INDEX('Prospects'!$E$2:$E$16,MATCH($B$5,'Prospects'!$B$2:$B$16,0))</f>
        <v>Outbound platform; expert and partner links are public.</v>
      </c>
      <c r="B12" s="54"/>
      <c r="C12" s="54"/>
      <c r="D12" s="54"/>
      <c r="E12" s="54"/>
      <c r="F12" s="54"/>
      <c r="G12" s="54"/>
      <c r="H12" s="54"/>
    </row>
    <row r="13" ht="23" customHeight="1">
      <c r="A13" s="54"/>
      <c r="B13" s="54"/>
      <c r="C13" s="54"/>
      <c r="D13" s="54"/>
      <c r="E13" s="54"/>
      <c r="F13" s="54"/>
      <c r="G13" s="54"/>
      <c r="H13" s="54"/>
    </row>
    <row r="14" ht="23" customHeight="1">
      <c r="A14" s="54"/>
      <c r="B14" s="54"/>
      <c r="C14" s="54"/>
      <c r="D14" s="54"/>
      <c r="E14" s="54"/>
      <c r="F14" s="54"/>
      <c r="G14" s="54"/>
      <c r="H14" s="54"/>
    </row>
    <row r="15" ht="23" customHeight="1">
      <c r="A15" s="28"/>
      <c r="B15" s="28"/>
      <c r="C15" s="28"/>
      <c r="D15" s="28"/>
      <c r="E15" s="28"/>
      <c r="F15" s="28"/>
      <c r="G15" s="28"/>
      <c r="H15" s="28"/>
    </row>
    <row r="16" ht="21" customHeight="1">
      <c r="A16" s="35" t="str">
        <v>02   USE-CASE HYPOTHESIS · DEMAND NOT VERIFIED</v>
      </c>
      <c r="B16" s="35"/>
      <c r="C16" s="35"/>
      <c r="D16" s="35"/>
      <c r="E16" s="35"/>
      <c r="F16" s="35"/>
      <c r="G16" s="35"/>
      <c r="H16" s="35"/>
    </row>
    <row r="17" ht="23" customHeight="1">
      <c r="A17" s="57" t="str">
        <f>INDEX('Prospects'!$F$2:$F$16,MATCH($B$5,'Prospects'!$B$2:$B$16,0))</f>
        <v>Research niche outbound agencies with documented vertical focus.</v>
      </c>
      <c r="B17" s="57"/>
      <c r="C17" s="57"/>
      <c r="D17" s="57"/>
      <c r="E17" s="57"/>
      <c r="F17" s="57"/>
      <c r="G17" s="57"/>
      <c r="H17" s="57"/>
    </row>
    <row r="18" ht="23" customHeight="1">
      <c r="A18" s="57"/>
      <c r="B18" s="57"/>
      <c r="C18" s="57"/>
      <c r="D18" s="57"/>
      <c r="E18" s="57"/>
      <c r="F18" s="57"/>
      <c r="G18" s="57"/>
      <c r="H18" s="57"/>
    </row>
    <row r="19" ht="23" customHeight="1">
      <c r="A19" s="57"/>
      <c r="B19" s="57"/>
      <c r="C19" s="57"/>
      <c r="D19" s="57"/>
      <c r="E19" s="57"/>
      <c r="F19" s="57"/>
      <c r="G19" s="57"/>
      <c r="H19" s="57"/>
    </row>
    <row r="20" ht="23" customHeight="1">
      <c r="A20" s="28"/>
      <c r="B20" s="28"/>
      <c r="C20" s="28"/>
      <c r="D20" s="28"/>
      <c r="E20" s="28"/>
      <c r="F20" s="28"/>
      <c r="G20" s="28"/>
      <c r="H20" s="28"/>
    </row>
    <row r="21" ht="21" customHeight="1">
      <c r="A21" s="35" t="str">
        <v>TARGET ROLE · PERSON NOT VERIFIED</v>
      </c>
      <c r="B21" s="35"/>
      <c r="C21" s="35"/>
      <c r="D21" s="35"/>
      <c r="E21" s="35" t="str">
        <v>CONTACT TYPE</v>
      </c>
      <c r="F21" s="35"/>
      <c r="G21" s="35"/>
      <c r="H21" s="35"/>
    </row>
    <row r="22" ht="23" customHeight="1">
      <c r="A22" s="54" t="str">
        <f>INDEX('Prospects'!$G$2:$G$16,MATCH($B$5,'Prospects'!$B$2:$B$16,0))</f>
        <v>Partnerships lead</v>
      </c>
      <c r="B22" s="54"/>
      <c r="C22" s="54"/>
      <c r="D22" s="54"/>
      <c r="E22" s="54" t="str">
        <f>INDEX('Prospects'!$I$2:$I$16,MATCH($B$5,'Prospects'!$B$2:$B$16,0))</f>
        <v>Form / general business contact</v>
      </c>
      <c r="F22" s="54"/>
      <c r="G22" s="54"/>
      <c r="H22" s="54"/>
    </row>
    <row r="23" ht="23" customHeight="1">
      <c r="A23" s="54"/>
      <c r="B23" s="54"/>
      <c r="C23" s="54"/>
      <c r="D23" s="54"/>
      <c r="E23" s="54"/>
      <c r="F23" s="54"/>
      <c r="G23" s="54"/>
      <c r="H23" s="54"/>
    </row>
    <row r="24" ht="23" customHeight="1">
      <c r="A24" s="54"/>
      <c r="B24" s="54"/>
      <c r="C24" s="54"/>
      <c r="D24" s="54"/>
      <c r="E24" s="54"/>
      <c r="F24" s="54"/>
      <c r="G24" s="54"/>
      <c r="H24" s="54"/>
    </row>
    <row r="25" ht="23" customHeight="1">
      <c r="A25" s="28"/>
      <c r="B25" s="28"/>
      <c r="C25" s="28"/>
      <c r="D25" s="28"/>
      <c r="E25" s="28"/>
      <c r="F25" s="28"/>
      <c r="G25" s="28"/>
      <c r="H25" s="28"/>
    </row>
    <row r="26" ht="21" customHeight="1">
      <c r="A26" s="35" t="str">
        <v>03   PUBLIC CONTACT / ROUTE</v>
      </c>
      <c r="B26" s="35"/>
      <c r="C26" s="35"/>
      <c r="D26" s="35"/>
      <c r="E26" s="35"/>
      <c r="F26" s="35"/>
      <c r="G26" s="35"/>
      <c r="H26" s="35"/>
    </row>
    <row r="27" ht="23" customHeight="1">
      <c r="A27" s="57" t="str">
        <f>INDEX('Prospects'!$H$2:$H$16,MATCH($B$5,'Prospects'!$B$2:$B$16,0))</f>
        <v>Public sales form; Partner with lemlist link on homepage</v>
      </c>
      <c r="B27" s="57"/>
      <c r="C27" s="57"/>
      <c r="D27" s="57"/>
      <c r="E27" s="57"/>
      <c r="F27" s="57"/>
      <c r="G27" s="57"/>
      <c r="H27" s="57"/>
    </row>
    <row r="28" ht="23" customHeight="1">
      <c r="A28" s="57"/>
      <c r="B28" s="57"/>
      <c r="C28" s="57"/>
      <c r="D28" s="57"/>
      <c r="E28" s="57"/>
      <c r="F28" s="57"/>
      <c r="G28" s="57"/>
      <c r="H28" s="57"/>
    </row>
    <row r="29" ht="23" customHeight="1">
      <c r="A29" s="57"/>
      <c r="B29" s="57"/>
      <c r="C29" s="57"/>
      <c r="D29" s="57"/>
      <c r="E29" s="57"/>
      <c r="F29" s="57"/>
      <c r="G29" s="57"/>
      <c r="H29" s="57"/>
    </row>
    <row r="30" ht="23" customHeight="1">
      <c r="A30" s="28"/>
      <c r="B30" s="28"/>
      <c r="C30" s="28"/>
      <c r="D30" s="28"/>
      <c r="E30" s="28"/>
      <c r="F30" s="28"/>
      <c r="G30" s="28"/>
      <c r="H30" s="28"/>
    </row>
    <row r="31" ht="21" customHeight="1">
      <c r="A31" s="35" t="str">
        <v>04   LIMITATION TO QUALIFY</v>
      </c>
      <c r="B31" s="35"/>
      <c r="C31" s="35"/>
      <c r="D31" s="35"/>
      <c r="E31" s="35"/>
      <c r="F31" s="35"/>
      <c r="G31" s="35"/>
      <c r="H31" s="35"/>
    </row>
    <row r="32" ht="23" customHeight="1">
      <c r="A32" s="75" t="str">
        <f>INDEX('Prospects'!$R$2:$R$16,MATCH($B$5,'Prospects'!$B$2:$B$16,0))</f>
        <v>Research competes with built-in data; offer a narrow manual layer.</v>
      </c>
      <c r="B32" s="75"/>
      <c r="C32" s="75"/>
      <c r="D32" s="75"/>
      <c r="E32" s="75"/>
      <c r="F32" s="75"/>
      <c r="G32" s="75"/>
      <c r="H32" s="75"/>
    </row>
    <row r="33" ht="23" customHeight="1">
      <c r="A33" s="75"/>
      <c r="B33" s="75"/>
      <c r="C33" s="75"/>
      <c r="D33" s="75"/>
      <c r="E33" s="75"/>
      <c r="F33" s="75"/>
      <c r="G33" s="75"/>
      <c r="H33" s="75"/>
    </row>
    <row r="34" ht="23" customHeight="1">
      <c r="A34" s="75"/>
      <c r="B34" s="75"/>
      <c r="C34" s="75"/>
      <c r="D34" s="75"/>
      <c r="E34" s="75"/>
      <c r="F34" s="75"/>
      <c r="G34" s="75"/>
      <c r="H34" s="75"/>
    </row>
    <row r="35" ht="23" customHeight="1">
      <c r="A35" s="28"/>
      <c r="B35" s="28"/>
      <c r="C35" s="28"/>
      <c r="D35" s="28"/>
      <c r="E35" s="28"/>
      <c r="F35" s="28"/>
      <c r="G35" s="28"/>
      <c r="H35" s="28"/>
    </row>
    <row r="36" ht="21" customHeight="1">
      <c r="A36" s="35" t="str">
        <v>05   NEXT ACTION</v>
      </c>
      <c r="B36" s="35"/>
      <c r="C36" s="35"/>
      <c r="D36" s="35"/>
      <c r="E36" s="35"/>
      <c r="F36" s="35"/>
      <c r="G36" s="35"/>
      <c r="H36" s="35"/>
    </row>
    <row r="37" ht="23" customHeight="1">
      <c r="A37" s="76" t="str">
        <f>INDEX('Prospects'!$S$2:$S$16,MATCH($B$5,'Prospects'!$B$2:$B$16,0))</f>
        <v>Confirm current contact, identify the role owner and validate need before outreach.</v>
      </c>
      <c r="B37" s="76"/>
      <c r="C37" s="76"/>
      <c r="D37" s="76"/>
      <c r="E37" s="76"/>
      <c r="F37" s="76"/>
      <c r="G37" s="76"/>
      <c r="H37" s="76"/>
    </row>
    <row r="38" ht="23" customHeight="1">
      <c r="A38" s="76"/>
      <c r="B38" s="76"/>
      <c r="C38" s="76"/>
      <c r="D38" s="76"/>
      <c r="E38" s="76"/>
      <c r="F38" s="76"/>
      <c r="G38" s="76"/>
      <c r="H38" s="76"/>
    </row>
    <row r="39" ht="23" customHeight="1">
      <c r="A39" s="76"/>
      <c r="B39" s="76"/>
      <c r="C39" s="76"/>
      <c r="D39" s="76"/>
      <c r="E39" s="76"/>
      <c r="F39" s="76"/>
      <c r="G39" s="76"/>
      <c r="H39" s="76"/>
    </row>
    <row r="40" ht="23" customHeight="1">
      <c r="A40" s="28"/>
      <c r="B40" s="28"/>
      <c r="C40" s="28"/>
      <c r="D40" s="28"/>
      <c r="E40" s="28"/>
      <c r="F40" s="28"/>
      <c r="G40" s="28"/>
      <c r="H40" s="28"/>
    </row>
    <row r="41" ht="21" customHeight="1">
      <c r="A41" s="35" t="str">
        <v>SOURCE ACCESS DATE</v>
      </c>
      <c r="B41" s="35"/>
      <c r="C41" s="35"/>
      <c r="D41" s="35"/>
      <c r="E41" s="35" t="str">
        <v>VERIFICATION SCOPE</v>
      </c>
      <c r="F41" s="35"/>
      <c r="G41" s="35"/>
      <c r="H41" s="35"/>
    </row>
    <row r="42" ht="23" customHeight="1">
      <c r="A42" s="77" t="n">
        <f>INDEX('Prospects'!$T$2:$T$16,MATCH($B$5,'Prospects'!$B$2:$B$16,0))</f>
        <v>46308.5</v>
      </c>
      <c r="B42" s="54"/>
      <c r="C42" s="54"/>
      <c r="D42" s="54"/>
      <c r="E42" s="54" t="str">
        <f>INDEX('Prospects'!$U$2:$U$16,MATCH($B$5,'Prospects'!$B$2:$B$16,0))</f>
        <v>Page and contact page reviewed</v>
      </c>
      <c r="F42" s="54"/>
      <c r="G42" s="54"/>
      <c r="H42" s="54"/>
    </row>
    <row r="43" ht="23" customHeight="1">
      <c r="A43" s="54"/>
      <c r="B43" s="54"/>
      <c r="C43" s="54"/>
      <c r="D43" s="54"/>
      <c r="E43" s="54"/>
      <c r="F43" s="54"/>
      <c r="G43" s="54"/>
      <c r="H43" s="54"/>
    </row>
    <row r="44" ht="21" customHeight="1">
      <c r="A44" s="35" t="str">
        <v>BUSINESS SOURCE · URL</v>
      </c>
      <c r="B44" s="35"/>
      <c r="C44" s="35"/>
      <c r="D44" s="35"/>
      <c r="E44" s="35" t="str">
        <v>CONTACT SOURCE · URL</v>
      </c>
      <c r="F44" s="35"/>
      <c r="G44" s="35"/>
      <c r="H44" s="35"/>
    </row>
    <row r="45" ht="23" customHeight="1">
      <c r="A45" s="79" t="str">
        <f>INDEX('Prospects'!$AA$2:$AA$16,MATCH($B$5,'Prospects'!$B$2:$B$16,0))</f>
        <v>https://www.lemlist.com/</v>
      </c>
      <c r="B45" s="79"/>
      <c r="C45" s="79"/>
      <c r="D45" s="79"/>
      <c r="E45" s="79" t="str">
        <f>INDEX('Prospects'!$AB$2:$AB$16,MATCH($B$5,'Prospects'!$B$2:$B$16,0))</f>
        <v>https://www.lemlist.com/contact-sales</v>
      </c>
      <c r="F45" s="79"/>
      <c r="G45" s="79"/>
      <c r="H45" s="79"/>
    </row>
    <row r="46" ht="23" customHeight="1">
      <c r="A46" s="79"/>
      <c r="B46" s="79"/>
      <c r="C46" s="79"/>
      <c r="D46" s="79"/>
      <c r="E46" s="79"/>
      <c r="F46" s="79"/>
      <c r="G46" s="79"/>
      <c r="H46" s="79"/>
    </row>
    <row r="47" ht="23" customHeight="1">
      <c r="A47" s="28"/>
      <c r="B47" s="28"/>
      <c r="C47" s="28"/>
      <c r="D47" s="28"/>
      <c r="E47" s="28"/>
      <c r="F47" s="28"/>
      <c r="G47" s="28"/>
      <c r="H47" s="28"/>
    </row>
    <row r="48" ht="21" customHeight="1">
      <c r="A48" s="35" t="str">
        <v>SCORE COMPONENTS · INPUTS FROM 0 TO 5</v>
      </c>
      <c r="B48" s="35"/>
      <c r="C48" s="35"/>
      <c r="D48" s="35"/>
      <c r="E48" s="35"/>
      <c r="F48" s="35"/>
      <c r="G48" s="35"/>
      <c r="H48" s="35"/>
    </row>
    <row r="49" ht="21" customHeight="1">
      <c r="A49" s="35" t="str">
        <v>Segment ×6</v>
      </c>
      <c r="B49" s="35"/>
      <c r="C49" s="35" t="str">
        <v>Use case ×6</v>
      </c>
      <c r="D49" s="35"/>
      <c r="E49" s="35" t="str">
        <v>Route ×4</v>
      </c>
      <c r="F49" s="35"/>
      <c r="G49" s="35" t="str">
        <v>Evidence ×4</v>
      </c>
      <c r="H49" s="35"/>
    </row>
    <row r="50" ht="23" customHeight="1">
      <c r="A50" s="82" t="n">
        <f>INDEX('Prospects'!$J$2:$J$16,MATCH($B$5,'Prospects'!$B$2:$B$16,0))</f>
        <v>5</v>
      </c>
      <c r="B50" s="82"/>
      <c r="C50" s="82" t="n">
        <f>INDEX('Prospects'!$K$2:$K$16,MATCH($B$5,'Prospects'!$B$2:$B$16,0))</f>
        <v>3</v>
      </c>
      <c r="D50" s="82"/>
      <c r="E50" s="82" t="n">
        <f>INDEX('Prospects'!$L$2:$L$16,MATCH($B$5,'Prospects'!$B$2:$B$16,0))</f>
        <v>3</v>
      </c>
      <c r="F50" s="82"/>
      <c r="G50" s="82" t="n">
        <f>INDEX('Prospects'!$M$2:$M$16,MATCH($B$5,'Prospects'!$B$2:$B$16,0))</f>
        <v>5</v>
      </c>
      <c r="H50" s="82"/>
    </row>
    <row r="51" ht="23" customHeight="1">
      <c r="A51" s="82"/>
      <c r="B51" s="82"/>
      <c r="C51" s="82"/>
      <c r="D51" s="82"/>
      <c r="E51" s="82"/>
      <c r="F51" s="82"/>
      <c r="G51" s="82"/>
      <c r="H51" s="82"/>
    </row>
    <row r="52" ht="23" customHeight="1">
      <c r="A52" s="28"/>
      <c r="B52" s="28"/>
      <c r="C52" s="28"/>
      <c r="D52" s="28"/>
      <c r="E52" s="28"/>
      <c r="F52" s="28"/>
      <c r="G52" s="28"/>
      <c r="H52" s="28"/>
    </row>
    <row r="53" ht="21" customHeight="1">
      <c r="A53" s="35" t="str">
        <v>STATUS</v>
      </c>
      <c r="B53" s="35"/>
      <c r="C53" s="35"/>
      <c r="D53" s="35"/>
      <c r="E53" s="35"/>
      <c r="F53" s="35"/>
      <c r="G53" s="35"/>
      <c r="H53" s="35"/>
    </row>
    <row r="54" ht="23" customHeight="1">
      <c r="A54" s="84" t="str">
        <f>INDEX('Prospects'!$V$2:$V$16,MATCH($B$5,'Prospects'!$B$2:$B$16,0))</f>
        <v>Not contacted</v>
      </c>
      <c r="B54" s="84"/>
      <c r="C54" s="84"/>
      <c r="D54" s="84"/>
      <c r="E54" s="84"/>
      <c r="F54" s="84"/>
      <c r="G54" s="84"/>
      <c r="H54" s="84"/>
    </row>
    <row r="55" ht="23" customHeight="1">
      <c r="A55" s="28"/>
      <c r="B55" s="28"/>
      <c r="C55" s="28"/>
      <c r="D55" s="28"/>
      <c r="E55" s="28"/>
      <c r="F55" s="28"/>
      <c r="G55" s="28"/>
      <c r="H55" s="28"/>
    </row>
    <row r="56" ht="23" customHeight="1">
      <c r="A56" s="32" t="str">
        <v>A public contact does not establish email deliverability, phone activity or purchase intent. Recheck the route and the role before use.</v>
      </c>
      <c r="B56" s="32"/>
      <c r="C56" s="32"/>
      <c r="D56" s="32"/>
      <c r="E56" s="32"/>
      <c r="F56" s="32"/>
      <c r="G56" s="32"/>
      <c r="H56" s="32"/>
    </row>
    <row r="57" ht="23" customHeight="1">
      <c r="A57" s="32"/>
      <c r="B57" s="32"/>
      <c r="C57" s="32"/>
      <c r="D57" s="32"/>
      <c r="E57" s="32"/>
      <c r="F57" s="32"/>
      <c r="G57" s="32"/>
      <c r="H57" s="32"/>
    </row>
    <row r="58" ht="23" customHeight="1">
      <c r="A58" s="28"/>
      <c r="B58" s="28"/>
      <c r="C58" s="28"/>
      <c r="D58" s="28"/>
      <c r="E58" s="28"/>
      <c r="F58" s="28"/>
      <c r="G58" s="28"/>
      <c r="H58" s="28"/>
    </row>
    <row r="59" ht="30" customHeight="1">
      <c r="A59" s="53" t="str">
        <v>← Account list</v>
      </c>
      <c r="B59" s="53"/>
      <c r="C59" s="53"/>
      <c r="D59" s="53"/>
      <c r="E59" s="53" t="str">
        <v>Full source data →</v>
      </c>
      <c r="F59" s="53"/>
      <c r="G59" s="53"/>
      <c r="H59" s="53"/>
    </row>
    <row r="60" ht="23" customHeight="1">
      <c r="A60" s="28"/>
      <c r="B60" s="28"/>
      <c r="C60" s="28"/>
      <c r="D60" s="28"/>
      <c r="E60" s="28"/>
      <c r="F60" s="28"/>
      <c r="G60" s="28"/>
      <c r="H60" s="28"/>
    </row>
  </sheetData>
  <mergeCells>
    <mergeCell ref="A2:H2"/>
    <mergeCell ref="A3:H3"/>
    <mergeCell ref="B5:H5"/>
    <mergeCell ref="A7:B7"/>
    <mergeCell ref="C7:H7"/>
    <mergeCell ref="A8:B9"/>
    <mergeCell ref="C8:H9"/>
    <mergeCell ref="A11:H11"/>
    <mergeCell ref="A12:H14"/>
    <mergeCell ref="A16:H16"/>
    <mergeCell ref="A17:H19"/>
    <mergeCell ref="A21:D21"/>
    <mergeCell ref="A22:D24"/>
    <mergeCell ref="E21:H21"/>
    <mergeCell ref="E22:H24"/>
    <mergeCell ref="A26:H26"/>
    <mergeCell ref="A27:H29"/>
    <mergeCell ref="A31:H31"/>
    <mergeCell ref="A32:H34"/>
    <mergeCell ref="A36:H36"/>
    <mergeCell ref="A37:H39"/>
    <mergeCell ref="A41:D41"/>
    <mergeCell ref="A42:D43"/>
    <mergeCell ref="E41:H41"/>
    <mergeCell ref="E42:H43"/>
    <mergeCell ref="A44:D44"/>
    <mergeCell ref="E44:H44"/>
    <mergeCell ref="A45:D46"/>
    <mergeCell ref="E45:H46"/>
    <mergeCell ref="A48:H48"/>
    <mergeCell ref="A49:B49"/>
    <mergeCell ref="A50:B51"/>
    <mergeCell ref="C49:D49"/>
    <mergeCell ref="C50:D51"/>
    <mergeCell ref="E49:F49"/>
    <mergeCell ref="E50:F51"/>
    <mergeCell ref="G49:H49"/>
    <mergeCell ref="G50:H51"/>
    <mergeCell ref="A53:H53"/>
    <mergeCell ref="A54:H54"/>
    <mergeCell ref="A56:H57"/>
    <mergeCell ref="A59:D59"/>
    <mergeCell ref="E59:H59"/>
  </mergeCells>
  <dataValidations count="1">
    <dataValidation type="list" sqref="B5">
      <formula1>INDIRECT("'Prospects'!$B$2:$B$16")</formula1>
    </dataValidation>
  </dataValidations>
  <hyperlinks>
    <hyperlink ref="A59" location="'Account list'!A1" display="← Account list"/>
    <hyperlink ref="E59" location="'Prospects'!A1" display="Full source data →"/>
  </hyperlinks>
  <pageMargins left="0.7" right="0.7" top="0.75" bottom="0.75" header="0.3" footer="0.3"/>
</worksheet>
</file>

<file path=xl/worksheets/sheet4.xml><?xml version="1.0" encoding="utf-8"?>
<worksheet xmlns="http://schemas.openxmlformats.org/spreadsheetml/2006/main">
  <sheetPr>
    <tabColor rgb="FFC7CDC2"/>
  </sheetPr>
  <sheetViews>
    <sheetView showGridLines="0" workbookViewId="0"/>
  </sheetViews>
  <sheetFormatPr defaultRowHeight="15"/>
  <cols>
    <col min="1" max="1" width="33" hidden="0" customWidth="1"/>
    <col min="2" max="2" width="103" hidden="0" customWidth="1"/>
  </cols>
  <sheetData>
    <row r="1" ht="50" customHeight="1">
      <c r="A1" s="101" t="str">
        <v>B2B prospect research / International</v>
      </c>
      <c r="B1" s="101" t="str">
        <v>Ansar Kilash · demonstration sample for hiring and scoped research discussions</v>
      </c>
    </row>
    <row r="2" ht="48" customHeight="1">
      <c r="A2" s="105" t="str">
        <v>Scope</v>
      </c>
      <c r="B2" s="56" t="str">
        <v>15 international B2B software accounts / brands. Prepared for this portfolio with AI assistance; not represented as Ansar’s previous independently delivered client work.</v>
      </c>
    </row>
    <row r="3" ht="48" customHeight="1">
      <c r="A3" s="102" t="str">
        <v>Hypothetical buyer / offer</v>
      </c>
      <c r="B3" s="32" t="str">
        <v>An independent B2B research provider offering account and partner lists to B2B vendors. No real client commissioned this work.</v>
      </c>
    </row>
    <row r="4" ht="48" customHeight="1">
      <c r="A4" s="102" t="str">
        <v>ICP / inclusion</v>
      </c>
      <c r="B4" s="32" t="str">
        <v>Public B2B software offer; international-facing website; plausible partner or prospect research use case; official source. International-facing does not imply all countries are supported.</v>
      </c>
    </row>
    <row r="5" ht="48" customHeight="1">
      <c r="A5" s="102" t="str">
        <v>Exclusions</v>
      </c>
      <c r="B5" s="32" t="str">
        <v>No assumed revenue, headcount, open jobs, budget or purchase intent. Product overlap lowers use-case scores. Brands and parent groups are deduplicated.</v>
      </c>
    </row>
    <row r="6" ht="48" customHeight="1">
      <c r="A6" s="102" t="str">
        <v>Observed facts</v>
      </c>
      <c r="B6" s="32" t="str">
        <v>E contains a short observation from an official source. AA and AB contain evidence and contact URLs. U records the verification scope.</v>
      </c>
    </row>
    <row r="7" ht="48" customHeight="1">
      <c r="A7" s="102" t="str">
        <v>Hypotheses</v>
      </c>
      <c r="B7" s="32" t="str">
        <v>F is a proposed research use case. G is a target function, not a verified decision-maker. H is a public route, not a confirmed buyer.</v>
      </c>
    </row>
    <row r="8" ht="48" customHeight="1">
      <c r="A8" s="102" t="str">
        <v>Source access date</v>
      </c>
      <c r="B8" s="103" t="d">
        <v>2026-10-13T12:00:00.000Z</v>
      </c>
    </row>
    <row r="9" ht="48" customHeight="1">
      <c r="A9" s="102" t="str">
        <v>Verification limits</v>
      </c>
      <c r="B9" s="32" t="str">
        <v>Access date records source review in this session, not email deliverability, phone validation or a form submission. No named buyer was verified.</v>
      </c>
    </row>
    <row r="10" ht="48" customHeight="1">
      <c r="A10" s="105" t="str">
        <v>Workflow</v>
      </c>
      <c r="B10" s="56" t="str">
        <v>Brief → official sources → facts → hypothesis → contact review → domain / group deduplication → scoring → message approval → CRM handoff.</v>
      </c>
    </row>
    <row r="11" ht="48" customHeight="1">
      <c r="A11" s="105" t="str">
        <v>Score formula</v>
      </c>
      <c r="B11" s="56" t="str">
        <v>N = J×6 + K×6 + L×4 + M×4. Maximum 100. Subjective research prioritization, not a purchase probability.</v>
      </c>
    </row>
    <row r="12" ht="48" customHeight="1">
      <c r="A12" s="102" t="str">
        <v>J / Segment (30)</v>
      </c>
      <c r="B12" s="32" t="str">
        <v>0 outside ICP; 1 weak link; 2 indirect B2B; 3 specialist / complex B2B access; 4 mixed / infrastructure offering; 5 direct B2B offer.</v>
      </c>
    </row>
    <row r="13" ht="48" customHeight="1">
      <c r="A13" s="102" t="str">
        <v>K / Use case (30)</v>
      </c>
      <c r="B13" s="32" t="str">
        <v>0 none; 1 major product overlap; 2 specialist entry; 3 partner hypothesis; 4 specific segment; 5 narrow scenario directly tied to product. Demand remains unknown.</v>
      </c>
    </row>
    <row r="14" ht="48" customHeight="1">
      <c r="A14" s="102" t="str">
        <v>L / Route (20)</v>
      </c>
      <c r="B14" s="32" t="str">
        <v>0 no relevant route established; 1 support / operational only; 2 general / partner link; 3 enquiry form / business general; 4 sales / commerce; 5 explicit cooperation channel. No buyer identity confirmed.</v>
      </c>
    </row>
    <row r="15" ht="48" customHeight="1">
      <c r="A15" s="102" t="str">
        <v>M / Evidence (20)</v>
      </c>
      <c r="B15" s="32" t="str">
        <v>0 no source; 1 third-party mention; 2 old / partial official index; 3 official index with limited direct access; 4 official product reviewed; 5 product and public route reviewed.</v>
      </c>
    </row>
    <row r="16" ht="48" customHeight="1">
      <c r="A16" s="105" t="str">
        <v>Priority</v>
      </c>
      <c r="B16" s="56" t="str">
        <v>A 80–100 research first; B 60–79 qualify; C below 60 enrich. A does not mean ready to send outreach.</v>
      </c>
    </row>
    <row r="17" ht="48" customHeight="1">
      <c r="A17" s="102" t="str">
        <v>Editing / colors</v>
      </c>
      <c r="B17" s="32" t="str">
        <v>Amber J:M are score inputs, V is status and Z is task owner. N:O are formulas. Account list and Account card update from Prospects.</v>
      </c>
    </row>
    <row r="18" ht="48" customHeight="1">
      <c r="A18" s="105" t="str">
        <v>Before outreach</v>
      </c>
      <c r="B18" s="56" t="str">
        <v>Revisit the source, establish the correct brand / entity and role, choose an appropriate channel and confirm service scope, region and exclusions.</v>
      </c>
    </row>
    <row r="19" ht="48" customHeight="1">
      <c r="A19" s="102" t="str">
        <v>After a reply</v>
      </c>
      <c r="B19" s="32" t="str">
        <v>Record role, problem, current process, timing and agreed next step. Before a meeting confirm participants, time zone, agenda and internal owner.</v>
      </c>
    </row>
    <row r="20" ht="48" customHeight="1">
      <c r="A20" s="105" t="str">
        <v>Outcomes</v>
      </c>
      <c r="B20" s="56" t="str">
        <v>No messages sent, replies, meetings, revenue or client results. Sales forms are generally customer-facing; qualify the right vendor or hiring route first.</v>
      </c>
    </row>
    <row r="21" ht="48" customHeight="1">
      <c r="A21" s="102" t="str">
        <v>Extending the list</v>
      </c>
      <c r="B21" s="32" t="str">
        <v>Add a table row and extend N:O; inspect formulas. Keep stable IDs and normalized domains. Avoid brand / parent duplication.</v>
      </c>
    </row>
    <row r="22" ht="48" customHeight="1">
      <c r="A22" s="105" t="str">
        <v>Handoff review</v>
      </c>
      <c r="B22" s="56" t="str">
        <v>Check required fields, unique domains, evidence links, contact purpose, source freshness, scoring rationale and an explicit next action.</v>
      </c>
    </row>
    <row r="23" ht="48" customHeight="1">
      <c r="A23" s="102" t="str">
        <v>Summary / accounts</v>
      </c>
      <c r="B23" s="32" t="n">
        <f>COUNTA('Prospects'!A2:A16)</f>
        <v>15</v>
      </c>
    </row>
    <row r="24" ht="48" customHeight="1">
      <c r="A24" s="102" t="str">
        <v>Summary / priority A</v>
      </c>
      <c r="B24" s="32" t="n">
        <f>COUNTIFS('Prospects'!N2:N16,"&gt;=80")</f>
        <v>7</v>
      </c>
    </row>
    <row r="25" ht="48" customHeight="1">
      <c r="A25" s="102" t="str">
        <v>Summary / average fit</v>
      </c>
      <c r="B25" s="104" t="n">
        <f>AVERAGE('Prospects'!N2:N16)</f>
        <v>73.73333333333333</v>
      </c>
    </row>
    <row r="27">
      <c r="A27" t="str">
        <v>← Overview</v>
      </c>
    </row>
  </sheetData>
  <hyperlinks>
    <hyperlink ref="A27" location="'Overview'!A1" display="← Overview"/>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2" hidden="0" customWidth="1"/>
    <col min="2" max="2" width="25" hidden="0" customWidth="1"/>
    <col min="3" max="3" width="42" hidden="0" customWidth="1"/>
    <col min="4" max="4" width="25" hidden="0" customWidth="1"/>
    <col min="5" max="5" width="48" hidden="0" customWidth="1"/>
    <col min="6" max="6" width="55" hidden="0" customWidth="1"/>
    <col min="7" max="7" width="30" hidden="0" customWidth="1"/>
    <col min="8" max="8" width="54" hidden="0" customWidth="1"/>
    <col min="9" max="9" width="30" hidden="0" customWidth="1"/>
    <col min="10" max="10" width="13" hidden="0" customWidth="1"/>
    <col min="11" max="11" width="13" hidden="0" customWidth="1"/>
    <col min="12" max="12" width="13" hidden="0" customWidth="1"/>
    <col min="13" max="13" width="13" hidden="0" customWidth="1"/>
    <col min="14" max="14" width="16" hidden="0" customWidth="1"/>
    <col min="15" max="15" width="27" hidden="0" customWidth="1"/>
    <col min="16" max="16" width="85" hidden="0" customWidth="1"/>
    <col min="17" max="17" width="48" hidden="0" customWidth="1"/>
    <col min="18" max="18" width="55" hidden="0" customWidth="1"/>
    <col min="19" max="19" width="52" hidden="0" customWidth="1"/>
    <col min="20" max="20" width="18" hidden="0" customWidth="1"/>
    <col min="21" max="21" width="55" hidden="0" customWidth="1"/>
    <col min="22" max="22" width="24" hidden="0" customWidth="1"/>
    <col min="23" max="23" width="45" hidden="0" customWidth="1"/>
    <col min="24" max="24" width="26" hidden="0" customWidth="1"/>
    <col min="25" max="25" width="22" hidden="0" customWidth="1"/>
    <col min="26" max="26" width="22" hidden="0" customWidth="1"/>
    <col min="27" max="27" width="70" hidden="0" customWidth="1"/>
    <col min="28" max="28" width="70" hidden="0" customWidth="1"/>
  </cols>
  <sheetData>
    <row r="1" ht="42" customHeight="1">
      <c r="A1" s="91" t="str">
        <v>ID</v>
      </c>
      <c r="B1" s="91" t="str">
        <v>Company / brand</v>
      </c>
      <c r="C1" s="91" t="str">
        <v>Website</v>
      </c>
      <c r="D1" s="91" t="str">
        <v>Segment</v>
      </c>
      <c r="E1" s="91" t="str">
        <v>Observed fact</v>
      </c>
      <c r="F1" s="91" t="str">
        <v>Use-case hypothesis</v>
      </c>
      <c r="G1" s="91" t="str">
        <v>Target role (not a verified person)</v>
      </c>
      <c r="H1" s="91" t="str">
        <v>Public contact / route</v>
      </c>
      <c r="I1" s="91" t="str">
        <v>Contact type</v>
      </c>
      <c r="J1" s="92" t="str">
        <v>Segment 0–5</v>
      </c>
      <c r="K1" s="92" t="str">
        <v>Use case 0–5</v>
      </c>
      <c r="L1" s="92" t="str">
        <v>Route 0–5</v>
      </c>
      <c r="M1" s="92" t="str">
        <v>Evidence 0–5</v>
      </c>
      <c r="N1" s="92" t="str">
        <v>ICP fit /100</v>
      </c>
      <c r="O1" s="92" t="str">
        <v>Research priority</v>
      </c>
      <c r="P1" s="92" t="str">
        <v>Scoring rationale</v>
      </c>
      <c r="Q1" s="93" t="str">
        <v>Research advantage</v>
      </c>
      <c r="R1" s="93" t="str">
        <v>Limitation</v>
      </c>
      <c r="S1" s="93" t="str">
        <v>Next action</v>
      </c>
      <c r="T1" s="93" t="str">
        <v>Source access date</v>
      </c>
      <c r="U1" s="93" t="str">
        <v>Verification scope</v>
      </c>
      <c r="V1" s="93" t="str">
        <v>Status</v>
      </c>
      <c r="W1" s="93" t="str">
        <v>Email / phone tested?</v>
      </c>
      <c r="X1" s="93" t="str">
        <v>Budget / need</v>
      </c>
      <c r="Y1" s="93" t="str">
        <v>Company size</v>
      </c>
      <c r="Z1" s="93" t="str">
        <v>Task owner</v>
      </c>
      <c r="AA1" s="94" t="str">
        <v>Business evidence source</v>
      </c>
      <c r="AB1" s="94" t="str">
        <v>Contact source</v>
      </c>
    </row>
    <row r="2" ht="85" customHeight="1">
      <c r="A2" s="88" t="str">
        <v>INT-01</v>
      </c>
      <c r="B2" s="88" t="str">
        <v>Pipedrive</v>
      </c>
      <c r="C2" s="88" t="str">
        <v>https://www.pipedrive.com/en</v>
      </c>
      <c r="D2" s="88" t="str">
        <v>CRM</v>
      </c>
      <c r="E2" s="88" t="str">
        <v>Sales CRM with pipeline management, automations and partner program.</v>
      </c>
      <c r="F2" s="88" t="str">
        <v>Research regional CRM consultancies as a channel-partner segment.</v>
      </c>
      <c r="G2" s="88" t="str">
        <v>Partner development lead</v>
      </c>
      <c r="H2" s="88" t="str">
        <v>Partner-program link on homepage; no buyer email established</v>
      </c>
      <c r="I2" s="88" t="str">
        <v>General / partner link</v>
      </c>
      <c r="J2" s="95" t="n">
        <v>5</v>
      </c>
      <c r="K2" s="95" t="n">
        <v>3</v>
      </c>
      <c r="L2" s="95" t="n">
        <v>2</v>
      </c>
      <c r="M2" s="95" t="n">
        <v>5</v>
      </c>
      <c r="N2" s="89" t="n">
        <f>J2*6+K2*6+L2*4+M2*4</f>
        <v>76</v>
      </c>
      <c r="O2" s="88" t="str">
        <f>IF(N2&gt;=80,"A — research first",IF(N2&gt;=60,"B — qualify","C — enrich"))</f>
        <v>B — qualify</v>
      </c>
      <c r="P2" s="88" t="str">
        <v>Segment 5: B2B profile; use case 3: Research regional CRM consultancies as a channel-partner segment. Route 2: Partner-program link on homepage; no buyer email established. Evidence 5: Page content reviewed.</v>
      </c>
      <c r="Q2" s="88" t="str">
        <v>Sales CRM with pipeline management, automations and partner program.</v>
      </c>
      <c r="R2" s="88" t="str">
        <v>Mature sales team; a narrow territory pilot needs justification.</v>
      </c>
      <c r="S2" s="88" t="str">
        <v>Confirm current contact, identify the role owner and validate need before outreach.</v>
      </c>
      <c r="T2" s="90" t="d">
        <v>2026-10-13T12:00:00.000Z</v>
      </c>
      <c r="U2" s="88" t="str">
        <v>Page content reviewed</v>
      </c>
      <c r="V2" s="96" t="str">
        <v>Not contacted</v>
      </c>
      <c r="W2" s="88" t="str">
        <v>No; publication in source only</v>
      </c>
      <c r="X2" s="88" t="str">
        <v>Not established</v>
      </c>
      <c r="Y2" s="88" t="str">
        <v>Not established</v>
      </c>
      <c r="Z2" s="96" t="str"/>
      <c r="AA2" s="88" t="str">
        <v>https://www.pipedrive.com/en</v>
      </c>
      <c r="AB2" s="88" t="str">
        <v>https://www.pipedrive.com/en</v>
      </c>
    </row>
    <row r="3" ht="85" customHeight="1">
      <c r="A3" s="85" t="str">
        <v>INT-02</v>
      </c>
      <c r="B3" s="85" t="str">
        <v>Close</v>
      </c>
      <c r="C3" s="85" t="str">
        <v>https://close.com/</v>
      </c>
      <c r="D3" s="85" t="str">
        <v>CRM</v>
      </c>
      <c r="E3" s="85" t="str">
        <v>Sales CRM combines calling, email, SMS and automation.</v>
      </c>
      <c r="F3" s="85" t="str">
        <v>Research sales agencies for a partner-focused list.</v>
      </c>
      <c r="G3" s="85" t="str">
        <v>Partnerships lead</v>
      </c>
      <c r="H3" s="85" t="str">
        <v>Partners and View demo links on homepage; no direct buyer contact</v>
      </c>
      <c r="I3" s="85" t="str">
        <v>General / partner link</v>
      </c>
      <c r="J3" s="95" t="n">
        <v>5</v>
      </c>
      <c r="K3" s="95" t="n">
        <v>3</v>
      </c>
      <c r="L3" s="95" t="n">
        <v>2</v>
      </c>
      <c r="M3" s="95" t="n">
        <v>5</v>
      </c>
      <c r="N3" s="86" t="n">
        <f>J3*6+K3*6+L3*4+M3*4</f>
        <v>76</v>
      </c>
      <c r="O3" s="85" t="str">
        <f>IF(N3&gt;=80,"A — research first",IF(N3&gt;=60,"B — qualify","C — enrich"))</f>
        <v>B — qualify</v>
      </c>
      <c r="P3" s="85" t="str">
        <v>Segment 5: B2B profile; use case 3: Research sales agencies for a partner-focused list. Route 2: Partners and View demo links on homepage; no direct buyer contact. Evidence 5: Page content reviewed.</v>
      </c>
      <c r="Q3" s="85" t="str">
        <v>Sales CRM combines calling, email, SMS and automation.</v>
      </c>
      <c r="R3" s="85" t="str">
        <v>Built-in prospecting automation may reduce generic research demand.</v>
      </c>
      <c r="S3" s="85" t="str">
        <v>Confirm current contact, identify the role owner and validate need before outreach.</v>
      </c>
      <c r="T3" s="87" t="d">
        <v>2026-10-13T12:00:00.000Z</v>
      </c>
      <c r="U3" s="85" t="str">
        <v>Page content reviewed</v>
      </c>
      <c r="V3" s="96" t="str">
        <v>Not contacted</v>
      </c>
      <c r="W3" s="85" t="str">
        <v>No; publication in source only</v>
      </c>
      <c r="X3" s="85" t="str">
        <v>Not established</v>
      </c>
      <c r="Y3" s="85" t="str">
        <v>Not established</v>
      </c>
      <c r="Z3" s="96" t="str"/>
      <c r="AA3" s="85" t="str">
        <v>https://close.com/</v>
      </c>
      <c r="AB3" s="85" t="str">
        <v>https://close.com/</v>
      </c>
    </row>
    <row r="4" ht="85" customHeight="1">
      <c r="A4" s="88" t="str">
        <v>INT-03</v>
      </c>
      <c r="B4" s="88" t="str">
        <v>Attio</v>
      </c>
      <c r="C4" s="88" t="str">
        <v>https://attio.com/</v>
      </c>
      <c r="D4" s="88" t="str">
        <v>CRM</v>
      </c>
      <c r="E4" s="88" t="str">
        <v>CRM includes enrichment, workflows and sequences.</v>
      </c>
      <c r="F4" s="88" t="str">
        <v>Research expert implementation partners with a specialized data sample.</v>
      </c>
      <c r="G4" s="88" t="str">
        <v>Expert partnerships lead</v>
      </c>
      <c r="H4" s="88" t="str">
        <v>Public sales enquiry form; customer-facing route</v>
      </c>
      <c r="I4" s="88" t="str">
        <v>Form / general business contact</v>
      </c>
      <c r="J4" s="95" t="n">
        <v>5</v>
      </c>
      <c r="K4" s="95" t="n">
        <v>3</v>
      </c>
      <c r="L4" s="95" t="n">
        <v>3</v>
      </c>
      <c r="M4" s="95" t="n">
        <v>5</v>
      </c>
      <c r="N4" s="89" t="n">
        <f>J4*6+K4*6+L4*4+M4*4</f>
        <v>80</v>
      </c>
      <c r="O4" s="88" t="str">
        <f>IF(N4&gt;=80,"A — research first",IF(N4&gt;=60,"B — qualify","C — enrich"))</f>
        <v>A — research first</v>
      </c>
      <c r="P4" s="88" t="str">
        <v>Segment 5: B2B profile; use case 3: Research expert implementation partners with a specialized data sample. Route 3: Public sales enquiry form; customer-facing route. Evidence 5: Page and contact page reviewed.</v>
      </c>
      <c r="Q4" s="88" t="str">
        <v>CRM includes enrichment, workflows and sequences.</v>
      </c>
      <c r="R4" s="88" t="str">
        <v>Enrichment is a core capability; differentiation must be specific.</v>
      </c>
      <c r="S4" s="88" t="str">
        <v>Confirm current contact, identify the role owner and validate need before outreach.</v>
      </c>
      <c r="T4" s="90" t="d">
        <v>2026-10-13T12:00:00.000Z</v>
      </c>
      <c r="U4" s="88" t="str">
        <v>Page and contact page reviewed</v>
      </c>
      <c r="V4" s="96" t="str">
        <v>Not contacted</v>
      </c>
      <c r="W4" s="88" t="str">
        <v>No; publication in source only</v>
      </c>
      <c r="X4" s="88" t="str">
        <v>Not established</v>
      </c>
      <c r="Y4" s="88" t="str">
        <v>Not established</v>
      </c>
      <c r="Z4" s="96" t="str"/>
      <c r="AA4" s="88" t="str">
        <v>https://attio.com/</v>
      </c>
      <c r="AB4" s="88" t="str">
        <v>https://attio.com/contact/sales</v>
      </c>
    </row>
    <row r="5" ht="85" customHeight="1">
      <c r="A5" s="85" t="str">
        <v>INT-04</v>
      </c>
      <c r="B5" s="85" t="str">
        <v>Front</v>
      </c>
      <c r="C5" s="85" t="str">
        <v>https://front.com/</v>
      </c>
      <c r="D5" s="85" t="str">
        <v>Customer service</v>
      </c>
      <c r="E5" s="85" t="str">
        <v>Customer-service platform with email and client communication use cases.</v>
      </c>
      <c r="F5" s="85" t="str">
        <v>Research service businesses by shared-inbox use case.</v>
      </c>
      <c r="G5" s="85" t="str">
        <v>Partnerships lead</v>
      </c>
      <c r="H5" s="85" t="str">
        <v>Become a Partner link on homepage; no buyer email established</v>
      </c>
      <c r="I5" s="85" t="str">
        <v>General / partner link</v>
      </c>
      <c r="J5" s="95" t="n">
        <v>5</v>
      </c>
      <c r="K5" s="95" t="n">
        <v>4</v>
      </c>
      <c r="L5" s="95" t="n">
        <v>2</v>
      </c>
      <c r="M5" s="95" t="n">
        <v>5</v>
      </c>
      <c r="N5" s="86" t="n">
        <f>J5*6+K5*6+L5*4+M5*4</f>
        <v>82</v>
      </c>
      <c r="O5" s="85" t="str">
        <f>IF(N5&gt;=80,"A — research first",IF(N5&gt;=60,"B — qualify","C — enrich"))</f>
        <v>A — research first</v>
      </c>
      <c r="P5" s="85" t="str">
        <v>Segment 5: B2B profile; use case 4: Research service businesses by shared-inbox use case. Route 2: Become a Partner link on homepage; no buyer email established. Evidence 5: Page content reviewed.</v>
      </c>
      <c r="Q5" s="85" t="str">
        <v>Customer-service platform with email and client communication use cases.</v>
      </c>
      <c r="R5" s="85" t="str">
        <v>Use case is visible; buying intent and outsourcing policy unknown.</v>
      </c>
      <c r="S5" s="85" t="str">
        <v>Confirm current contact, identify the role owner and validate need before outreach.</v>
      </c>
      <c r="T5" s="87" t="d">
        <v>2026-10-13T12:00:00.000Z</v>
      </c>
      <c r="U5" s="85" t="str">
        <v>Page content reviewed</v>
      </c>
      <c r="V5" s="96" t="str">
        <v>Not contacted</v>
      </c>
      <c r="W5" s="85" t="str">
        <v>No; publication in source only</v>
      </c>
      <c r="X5" s="85" t="str">
        <v>Not established</v>
      </c>
      <c r="Y5" s="85" t="str">
        <v>Not established</v>
      </c>
      <c r="Z5" s="96" t="str"/>
      <c r="AA5" s="85" t="str">
        <v>https://front.com/</v>
      </c>
      <c r="AB5" s="85" t="str">
        <v>https://front.com/</v>
      </c>
    </row>
    <row r="6" ht="85" customHeight="1">
      <c r="A6" s="88" t="str">
        <v>INT-05</v>
      </c>
      <c r="B6" s="88" t="str">
        <v>Intercom</v>
      </c>
      <c r="C6" s="88" t="str">
        <v>https://www.intercom.com/</v>
      </c>
      <c r="D6" s="88" t="str">
        <v>Customer service</v>
      </c>
      <c r="E6" s="88" t="str">
        <v>Platform for human and AI customer service with solution partners.</v>
      </c>
      <c r="F6" s="88" t="str">
        <v>Research implementation partners focused on a defined vertical.</v>
      </c>
      <c r="G6" s="88" t="str">
        <v>Solution partnerships lead</v>
      </c>
      <c r="H6" s="88" t="str">
        <v>Solution partner / Contact sales links; press email excluded</v>
      </c>
      <c r="I6" s="88" t="str">
        <v>General / partner link</v>
      </c>
      <c r="J6" s="95" t="n">
        <v>5</v>
      </c>
      <c r="K6" s="95" t="n">
        <v>3</v>
      </c>
      <c r="L6" s="95" t="n">
        <v>2</v>
      </c>
      <c r="M6" s="95" t="n">
        <v>5</v>
      </c>
      <c r="N6" s="89" t="n">
        <f>J6*6+K6*6+L6*4+M6*4</f>
        <v>76</v>
      </c>
      <c r="O6" s="88" t="str">
        <f>IF(N6&gt;=80,"A — research first",IF(N6&gt;=60,"B — qualify","C — enrich"))</f>
        <v>B — qualify</v>
      </c>
      <c r="P6" s="88" t="str">
        <v>Segment 5: B2B profile; use case 3: Research implementation partners focused on a defined vertical. Route 2: Solution partner / Contact sales links; press email excluded. Evidence 5: Page content reviewed.</v>
      </c>
      <c r="Q6" s="88" t="str">
        <v>Platform for human and AI customer service with solution partners.</v>
      </c>
      <c r="R6" s="88" t="str">
        <v>Large vendor; avoid sending a generic lead-list pitch to press.</v>
      </c>
      <c r="S6" s="88" t="str">
        <v>Confirm current contact, identify the role owner and validate need before outreach.</v>
      </c>
      <c r="T6" s="90" t="d">
        <v>2026-10-13T12:00:00.000Z</v>
      </c>
      <c r="U6" s="88" t="str">
        <v>Page content reviewed</v>
      </c>
      <c r="V6" s="96" t="str">
        <v>Not contacted</v>
      </c>
      <c r="W6" s="88" t="str">
        <v>No; publication in source only</v>
      </c>
      <c r="X6" s="88" t="str">
        <v>Not established</v>
      </c>
      <c r="Y6" s="88" t="str">
        <v>Not established</v>
      </c>
      <c r="Z6" s="96" t="str"/>
      <c r="AA6" s="88" t="str">
        <v>https://www.intercom.com/</v>
      </c>
      <c r="AB6" s="88" t="str">
        <v>https://www.intercom.com/</v>
      </c>
    </row>
    <row r="7" ht="85" customHeight="1">
      <c r="A7" s="85" t="str">
        <v>INT-06</v>
      </c>
      <c r="B7" s="85" t="str">
        <v>Customer.io</v>
      </c>
      <c r="C7" s="85" t="str">
        <v>https://customer.io/</v>
      </c>
      <c r="D7" s="85" t="str">
        <v>Customer engagement</v>
      </c>
      <c r="E7" s="85" t="str">
        <v>Customer-engagement platform with partner and contact pages.</v>
      </c>
      <c r="F7" s="85" t="str">
        <v>Research lifecycle-marketing agencies by specialization.</v>
      </c>
      <c r="G7" s="85" t="str">
        <v>Partner development lead</v>
      </c>
      <c r="H7" s="85" t="str">
        <v>Public contact page; route selection required</v>
      </c>
      <c r="I7" s="85" t="str">
        <v>Form / general business contact</v>
      </c>
      <c r="J7" s="95" t="n">
        <v>5</v>
      </c>
      <c r="K7" s="95" t="n">
        <v>4</v>
      </c>
      <c r="L7" s="95" t="n">
        <v>3</v>
      </c>
      <c r="M7" s="95" t="n">
        <v>5</v>
      </c>
      <c r="N7" s="86" t="n">
        <f>J7*6+K7*6+L7*4+M7*4</f>
        <v>86</v>
      </c>
      <c r="O7" s="85" t="str">
        <f>IF(N7&gt;=80,"A — research first",IF(N7&gt;=60,"B — qualify","C — enrich"))</f>
        <v>A — research first</v>
      </c>
      <c r="P7" s="85" t="str">
        <v>Segment 5: B2B profile; use case 4: Research lifecycle-marketing agencies by specialization. Route 3: Public contact page; route selection required. Evidence 5: Page and contact page reviewed.</v>
      </c>
      <c r="Q7" s="85" t="str">
        <v>Customer-engagement platform with partner and contact pages.</v>
      </c>
      <c r="R7" s="85" t="str">
        <v>Existing data stack and agency relationships are not known.</v>
      </c>
      <c r="S7" s="85" t="str">
        <v>Confirm current contact, identify the role owner and validate need before outreach.</v>
      </c>
      <c r="T7" s="87" t="d">
        <v>2026-10-13T12:00:00.000Z</v>
      </c>
      <c r="U7" s="85" t="str">
        <v>Page and contact page reviewed</v>
      </c>
      <c r="V7" s="96" t="str">
        <v>Not contacted</v>
      </c>
      <c r="W7" s="85" t="str">
        <v>No; publication in source only</v>
      </c>
      <c r="X7" s="85" t="str">
        <v>Not established</v>
      </c>
      <c r="Y7" s="85" t="str">
        <v>Not established</v>
      </c>
      <c r="Z7" s="96" t="str"/>
      <c r="AA7" s="85" t="str">
        <v>https://customer.io/</v>
      </c>
      <c r="AB7" s="85" t="str">
        <v>https://customer.io/contact</v>
      </c>
    </row>
    <row r="8" ht="85" customHeight="1">
      <c r="A8" s="88" t="str">
        <v>INT-07</v>
      </c>
      <c r="B8" s="88" t="str">
        <v>Aircall</v>
      </c>
      <c r="C8" s="88" t="str">
        <v>https://aircall.io/</v>
      </c>
      <c r="D8" s="88" t="str">
        <v>Business communications</v>
      </c>
      <c r="E8" s="88" t="str">
        <v>Business communications platform with CRM integrations and channel partners.</v>
      </c>
      <c r="F8" s="88" t="str">
        <v>Research CRM integrators serving phone-based sales teams.</v>
      </c>
      <c r="G8" s="88" t="str">
        <v>Channel partnerships lead</v>
      </c>
      <c r="H8" s="88" t="str">
        <v>Public contact page; sales and channel-partner routes</v>
      </c>
      <c r="I8" s="88" t="str">
        <v>Form / general business contact</v>
      </c>
      <c r="J8" s="95" t="n">
        <v>5</v>
      </c>
      <c r="K8" s="95" t="n">
        <v>4</v>
      </c>
      <c r="L8" s="95" t="n">
        <v>3</v>
      </c>
      <c r="M8" s="95" t="n">
        <v>5</v>
      </c>
      <c r="N8" s="89" t="n">
        <f>J8*6+K8*6+L8*4+M8*4</f>
        <v>86</v>
      </c>
      <c r="O8" s="88" t="str">
        <f>IF(N8&gt;=80,"A — research first",IF(N8&gt;=60,"B — qualify","C — enrich"))</f>
        <v>A — research first</v>
      </c>
      <c r="P8" s="88" t="str">
        <v>Segment 5: B2B profile; use case 4: Research CRM integrators serving phone-based sales teams. Route 3: Public contact page; sales and channel-partner routes. Evidence 5: Page and contact page reviewed.</v>
      </c>
      <c r="Q8" s="88" t="str">
        <v>Business communications platform with CRM integrations and channel partners.</v>
      </c>
      <c r="R8" s="88" t="str">
        <v>Geographic coverage and vendor requirements need qualification.</v>
      </c>
      <c r="S8" s="88" t="str">
        <v>Confirm current contact, identify the role owner and validate need before outreach.</v>
      </c>
      <c r="T8" s="90" t="d">
        <v>2026-10-13T12:00:00.000Z</v>
      </c>
      <c r="U8" s="88" t="str">
        <v>Page and contact page reviewed</v>
      </c>
      <c r="V8" s="96" t="str">
        <v>Not contacted</v>
      </c>
      <c r="W8" s="88" t="str">
        <v>No; publication in source only</v>
      </c>
      <c r="X8" s="88" t="str">
        <v>Not established</v>
      </c>
      <c r="Y8" s="88" t="str">
        <v>Not established</v>
      </c>
      <c r="Z8" s="96" t="str"/>
      <c r="AA8" s="88" t="str">
        <v>https://aircall.io/</v>
      </c>
      <c r="AB8" s="88" t="str">
        <v>https://aircall.io/contact/</v>
      </c>
    </row>
    <row r="9" ht="85" customHeight="1">
      <c r="A9" s="85" t="str">
        <v>INT-08</v>
      </c>
      <c r="B9" s="85" t="str">
        <v>lemlist</v>
      </c>
      <c r="C9" s="85" t="str">
        <v>https://www.lemlist.com/</v>
      </c>
      <c r="D9" s="85" t="str">
        <v>Sales engagement</v>
      </c>
      <c r="E9" s="85" t="str">
        <v>Outbound platform; expert and partner links are public.</v>
      </c>
      <c r="F9" s="85" t="str">
        <v>Research niche outbound agencies with documented vertical focus.</v>
      </c>
      <c r="G9" s="85" t="str">
        <v>Partnerships lead</v>
      </c>
      <c r="H9" s="85" t="str">
        <v>Public sales form; Partner with lemlist link on homepage</v>
      </c>
      <c r="I9" s="85" t="str">
        <v>Form / general business contact</v>
      </c>
      <c r="J9" s="95" t="n">
        <v>5</v>
      </c>
      <c r="K9" s="95" t="n">
        <v>3</v>
      </c>
      <c r="L9" s="95" t="n">
        <v>3</v>
      </c>
      <c r="M9" s="95" t="n">
        <v>5</v>
      </c>
      <c r="N9" s="86" t="n">
        <f>J9*6+K9*6+L9*4+M9*4</f>
        <v>80</v>
      </c>
      <c r="O9" s="85" t="str">
        <f>IF(N9&gt;=80,"A — research first",IF(N9&gt;=60,"B — qualify","C — enrich"))</f>
        <v>A — research first</v>
      </c>
      <c r="P9" s="85" t="str">
        <v>Segment 5: B2B profile; use case 3: Research niche outbound agencies with documented vertical focus. Route 3: Public sales form; Partner with lemlist link on homepage. Evidence 5: Page and contact page reviewed.</v>
      </c>
      <c r="Q9" s="85" t="str">
        <v>Outbound platform; expert and partner links are public.</v>
      </c>
      <c r="R9" s="85" t="str">
        <v>Research competes with built-in data; offer a narrow manual layer.</v>
      </c>
      <c r="S9" s="85" t="str">
        <v>Confirm current contact, identify the role owner and validate need before outreach.</v>
      </c>
      <c r="T9" s="87" t="d">
        <v>2026-10-13T12:00:00.000Z</v>
      </c>
      <c r="U9" s="85" t="str">
        <v>Page and contact page reviewed</v>
      </c>
      <c r="V9" s="96" t="str">
        <v>Not contacted</v>
      </c>
      <c r="W9" s="85" t="str">
        <v>No; publication in source only</v>
      </c>
      <c r="X9" s="85" t="str">
        <v>Not established</v>
      </c>
      <c r="Y9" s="85" t="str">
        <v>Not established</v>
      </c>
      <c r="Z9" s="96" t="str"/>
      <c r="AA9" s="85" t="str">
        <v>https://www.lemlist.com/</v>
      </c>
      <c r="AB9" s="85" t="str">
        <v>https://www.lemlist.com/contact-sales</v>
      </c>
    </row>
    <row r="10" ht="85" customHeight="1">
      <c r="A10" s="88" t="str">
        <v>INT-09</v>
      </c>
      <c r="B10" s="88" t="str">
        <v>Apollo</v>
      </c>
      <c r="C10" s="88" t="str">
        <v>https://www.apollo.io/</v>
      </c>
      <c r="D10" s="88" t="str">
        <v>Sales intelligence</v>
      </c>
      <c r="E10" s="88" t="str">
        <v>GTM platform covering prospecting and sales workflows.</v>
      </c>
      <c r="F10" s="88" t="str">
        <v>Explore specialist manual research only after checking internal capabilities.</v>
      </c>
      <c r="G10" s="88" t="str">
        <v>Partnerships or vendor lead</v>
      </c>
      <c r="H10" s="88" t="str">
        <v>Official homepage; relevant vendor / partner route not established</v>
      </c>
      <c r="I10" s="88" t="str">
        <v>Not established</v>
      </c>
      <c r="J10" s="95" t="n">
        <v>5</v>
      </c>
      <c r="K10" s="95" t="n">
        <v>1</v>
      </c>
      <c r="L10" s="95" t="n">
        <v>0</v>
      </c>
      <c r="M10" s="95" t="n">
        <v>4</v>
      </c>
      <c r="N10" s="89" t="n">
        <f>J10*6+K10*6+L10*4+M10*4</f>
        <v>52</v>
      </c>
      <c r="O10" s="88" t="str">
        <f>IF(N10&gt;=80,"A — research first",IF(N10&gt;=60,"B — qualify","C — enrich"))</f>
        <v>C — enrich</v>
      </c>
      <c r="P10" s="88" t="str">
        <v>Segment 5: B2B profile; use case 1: Explore specialist manual research only after checking internal capabilities. Route 0: Official homepage; relevant vendor / partner route not established. Evidence 4: Page content reviewed; relevant contact not established.</v>
      </c>
      <c r="Q10" s="88" t="str">
        <v>GTM platform covering prospecting and sales workflows.</v>
      </c>
      <c r="R10" s="88" t="str">
        <v>Direct overlap with core product; low differentiation for generic lists.</v>
      </c>
      <c r="S10" s="88" t="str">
        <v>Confirm current contact, identify the role owner and validate need before outreach.</v>
      </c>
      <c r="T10" s="90" t="d">
        <v>2026-10-13T12:00:00.000Z</v>
      </c>
      <c r="U10" s="88" t="str">
        <v>Page content reviewed; relevant contact not established</v>
      </c>
      <c r="V10" s="96" t="str">
        <v>Not contacted</v>
      </c>
      <c r="W10" s="88" t="str">
        <v>No; publication in source only</v>
      </c>
      <c r="X10" s="88" t="str">
        <v>Not established</v>
      </c>
      <c r="Y10" s="88" t="str">
        <v>Not established</v>
      </c>
      <c r="Z10" s="96" t="str"/>
      <c r="AA10" s="88" t="str">
        <v>https://www.apollo.io/</v>
      </c>
      <c r="AB10" s="88" t="str">
        <v>https://www.apollo.io/</v>
      </c>
    </row>
    <row r="11" ht="85" customHeight="1">
      <c r="A11" s="85" t="str">
        <v>INT-10</v>
      </c>
      <c r="B11" s="85" t="str">
        <v>Cognism</v>
      </c>
      <c r="C11" s="85" t="str">
        <v>https://www.cognism.com/</v>
      </c>
      <c r="D11" s="85" t="str">
        <v>Sales intelligence</v>
      </c>
      <c r="E11" s="85" t="str">
        <v>B2B data and enrichment with CRM integrations.</v>
      </c>
      <c r="F11" s="85" t="str">
        <v>Qualify a regional research gap before proposing a service.</v>
      </c>
      <c r="G11" s="85" t="str">
        <v>Data partnerships lead</v>
      </c>
      <c r="H11" s="85" t="str">
        <v>Official homepage; vendor contact not established</v>
      </c>
      <c r="I11" s="85" t="str">
        <v>Not established</v>
      </c>
      <c r="J11" s="95" t="n">
        <v>5</v>
      </c>
      <c r="K11" s="95" t="n">
        <v>1</v>
      </c>
      <c r="L11" s="95" t="n">
        <v>0</v>
      </c>
      <c r="M11" s="95" t="n">
        <v>4</v>
      </c>
      <c r="N11" s="86" t="n">
        <f>J11*6+K11*6+L11*4+M11*4</f>
        <v>52</v>
      </c>
      <c r="O11" s="85" t="str">
        <f>IF(N11&gt;=80,"A — research first",IF(N11&gt;=60,"B — qualify","C — enrich"))</f>
        <v>C — enrich</v>
      </c>
      <c r="P11" s="85" t="str">
        <v>Segment 5: B2B profile; use case 1: Qualify a regional research gap before proposing a service. Route 0: Official homepage; vendor contact not established. Evidence 4: Page content reviewed; relevant contact not established.</v>
      </c>
      <c r="Q11" s="85" t="str">
        <v>B2B data and enrichment with CRM integrations.</v>
      </c>
      <c r="R11" s="85" t="str">
        <v>Core product already supplies research data; demand is unproven.</v>
      </c>
      <c r="S11" s="85" t="str">
        <v>Confirm current contact, identify the role owner and validate need before outreach.</v>
      </c>
      <c r="T11" s="87" t="d">
        <v>2026-10-13T12:00:00.000Z</v>
      </c>
      <c r="U11" s="85" t="str">
        <v>Page content reviewed; relevant contact not established</v>
      </c>
      <c r="V11" s="96" t="str">
        <v>Not contacted</v>
      </c>
      <c r="W11" s="85" t="str">
        <v>No; publication in source only</v>
      </c>
      <c r="X11" s="85" t="str">
        <v>Not established</v>
      </c>
      <c r="Y11" s="85" t="str">
        <v>Not established</v>
      </c>
      <c r="Z11" s="96" t="str"/>
      <c r="AA11" s="85" t="str">
        <v>https://www.cognism.com/</v>
      </c>
      <c r="AB11" s="85" t="str">
        <v>https://www.cognism.com/</v>
      </c>
    </row>
    <row r="12" ht="85" customHeight="1">
      <c r="A12" s="88" t="str">
        <v>INT-11</v>
      </c>
      <c r="B12" s="88" t="str">
        <v>Surfe</v>
      </c>
      <c r="C12" s="88" t="str">
        <v>https://www.surfe.com/</v>
      </c>
      <c r="D12" s="88" t="str">
        <v>Data enrichment</v>
      </c>
      <c r="E12" s="88" t="str">
        <v>B2B prospecting, enrichment and CRM synchronization.</v>
      </c>
      <c r="F12" s="88" t="str">
        <v>Test interest in a narrow region-specific research layer.</v>
      </c>
      <c r="G12" s="88" t="str">
        <v>Data partnerships lead</v>
      </c>
      <c r="H12" s="88" t="str">
        <v>Official homepage; buyer contact not established</v>
      </c>
      <c r="I12" s="88" t="str">
        <v>Not established</v>
      </c>
      <c r="J12" s="95" t="n">
        <v>5</v>
      </c>
      <c r="K12" s="95" t="n">
        <v>1</v>
      </c>
      <c r="L12" s="95" t="n">
        <v>0</v>
      </c>
      <c r="M12" s="95" t="n">
        <v>4</v>
      </c>
      <c r="N12" s="89" t="n">
        <f>J12*6+K12*6+L12*4+M12*4</f>
        <v>52</v>
      </c>
      <c r="O12" s="88" t="str">
        <f>IF(N12&gt;=80,"A — research first",IF(N12&gt;=60,"B — qualify","C — enrich"))</f>
        <v>C — enrich</v>
      </c>
      <c r="P12" s="88" t="str">
        <v>Segment 5: B2B profile; use case 1: Test interest in a narrow region-specific research layer. Route 0: Official homepage; buyer contact not established. Evidence 4: Page content reviewed; relevant contact not established.</v>
      </c>
      <c r="Q12" s="88" t="str">
        <v>B2B prospecting, enrichment and CRM synchronization.</v>
      </c>
      <c r="R12" s="88" t="str">
        <v>Strong product overlap; no claim that it needs a lead-list vendor.</v>
      </c>
      <c r="S12" s="88" t="str">
        <v>Confirm current contact, identify the role owner and validate need before outreach.</v>
      </c>
      <c r="T12" s="90" t="d">
        <v>2026-10-13T12:00:00.000Z</v>
      </c>
      <c r="U12" s="88" t="str">
        <v>Page content reviewed; relevant contact not established</v>
      </c>
      <c r="V12" s="96" t="str">
        <v>Not contacted</v>
      </c>
      <c r="W12" s="88" t="str">
        <v>No; publication in source only</v>
      </c>
      <c r="X12" s="88" t="str">
        <v>Not established</v>
      </c>
      <c r="Y12" s="88" t="str">
        <v>Not established</v>
      </c>
      <c r="Z12" s="96" t="str"/>
      <c r="AA12" s="88" t="str">
        <v>https://www.surfe.com/</v>
      </c>
      <c r="AB12" s="88" t="str">
        <v>https://www.surfe.com/</v>
      </c>
    </row>
    <row r="13" ht="85" customHeight="1">
      <c r="A13" s="85" t="str">
        <v>INT-12</v>
      </c>
      <c r="B13" s="85" t="str">
        <v>Reply.io</v>
      </c>
      <c r="C13" s="85" t="str">
        <v>https://reply.io/</v>
      </c>
      <c r="D13" s="85" t="str">
        <v>Sales engagement</v>
      </c>
      <c r="E13" s="85" t="str">
        <v>Outreach platform with AI SDR and agency offering.</v>
      </c>
      <c r="F13" s="85" t="str">
        <v>Research niche agencies for a partner or co-delivery discussion.</v>
      </c>
      <c r="G13" s="85" t="str">
        <v>Agency partnerships lead</v>
      </c>
      <c r="H13" s="85" t="str">
        <v>Agency / sales options on homepage; no buyer email established</v>
      </c>
      <c r="I13" s="85" t="str">
        <v>General / partner link</v>
      </c>
      <c r="J13" s="95" t="n">
        <v>5</v>
      </c>
      <c r="K13" s="95" t="n">
        <v>3</v>
      </c>
      <c r="L13" s="95" t="n">
        <v>2</v>
      </c>
      <c r="M13" s="95" t="n">
        <v>5</v>
      </c>
      <c r="N13" s="86" t="n">
        <f>J13*6+K13*6+L13*4+M13*4</f>
        <v>76</v>
      </c>
      <c r="O13" s="85" t="str">
        <f>IF(N13&gt;=80,"A — research first",IF(N13&gt;=60,"B — qualify","C — enrich"))</f>
        <v>B — qualify</v>
      </c>
      <c r="P13" s="85" t="str">
        <v>Segment 5: B2B profile; use case 3: Research niche agencies for a partner or co-delivery discussion. Route 2: Agency / sales options on homepage; no buyer email established. Evidence 5: Page content reviewed.</v>
      </c>
      <c r="Q13" s="85" t="str">
        <v>Outreach platform with AI SDR and agency offering.</v>
      </c>
      <c r="R13" s="85" t="str">
        <v>Automated prospecting overlap; service positioning needs validation.</v>
      </c>
      <c r="S13" s="85" t="str">
        <v>Confirm current contact, identify the role owner and validate need before outreach.</v>
      </c>
      <c r="T13" s="87" t="d">
        <v>2026-10-13T12:00:00.000Z</v>
      </c>
      <c r="U13" s="85" t="str">
        <v>Page content reviewed</v>
      </c>
      <c r="V13" s="96" t="str">
        <v>Not contacted</v>
      </c>
      <c r="W13" s="85" t="str">
        <v>No; publication in source only</v>
      </c>
      <c r="X13" s="85" t="str">
        <v>Not established</v>
      </c>
      <c r="Y13" s="85" t="str">
        <v>Not established</v>
      </c>
      <c r="Z13" s="96" t="str"/>
      <c r="AA13" s="85" t="str">
        <v>https://reply.io/</v>
      </c>
      <c r="AB13" s="85" t="str">
        <v>https://reply.io/</v>
      </c>
    </row>
    <row r="14" ht="85" customHeight="1">
      <c r="A14" s="88" t="str">
        <v>INT-13</v>
      </c>
      <c r="B14" s="88" t="str">
        <v>PandaDoc</v>
      </c>
      <c r="C14" s="88" t="str">
        <v>https://www.pandadoc.com/</v>
      </c>
      <c r="D14" s="88" t="str">
        <v>Document SaaS</v>
      </c>
      <c r="E14" s="88" t="str">
        <v>Document workflow, approvals and electronic signatures.</v>
      </c>
      <c r="F14" s="88" t="str">
        <v>Research CRM consultancies for document-workflow partnerships.</v>
      </c>
      <c r="G14" s="88" t="str">
        <v>Partner development lead</v>
      </c>
      <c r="H14" s="88" t="str">
        <v>Official homepage; relevant partnership contact needs enrichment</v>
      </c>
      <c r="I14" s="88" t="str">
        <v>Not established</v>
      </c>
      <c r="J14" s="95" t="n">
        <v>5</v>
      </c>
      <c r="K14" s="95" t="n">
        <v>4</v>
      </c>
      <c r="L14" s="95" t="n">
        <v>0</v>
      </c>
      <c r="M14" s="95" t="n">
        <v>4</v>
      </c>
      <c r="N14" s="89" t="n">
        <f>J14*6+K14*6+L14*4+M14*4</f>
        <v>70</v>
      </c>
      <c r="O14" s="88" t="str">
        <f>IF(N14&gt;=80,"A — research first",IF(N14&gt;=60,"B — qualify","C — enrich"))</f>
        <v>B — qualify</v>
      </c>
      <c r="P14" s="88" t="str">
        <v>Segment 5: B2B profile; use case 4: Research CRM consultancies for document-workflow partnerships. Route 0: Official homepage; relevant partnership contact needs enrichment. Evidence 4: Page content reviewed; relevant contact not established.</v>
      </c>
      <c r="Q14" s="88" t="str">
        <v>Document workflow, approvals and electronic signatures.</v>
      </c>
      <c r="R14" s="88" t="str">
        <v>Implementation ecosystem and target territory require confirmation.</v>
      </c>
      <c r="S14" s="88" t="str">
        <v>Confirm current contact, identify the role owner and validate need before outreach.</v>
      </c>
      <c r="T14" s="90" t="d">
        <v>2026-10-13T12:00:00.000Z</v>
      </c>
      <c r="U14" s="88" t="str">
        <v>Page content reviewed; relevant contact not established</v>
      </c>
      <c r="V14" s="96" t="str">
        <v>Not contacted</v>
      </c>
      <c r="W14" s="88" t="str">
        <v>No; publication in source only</v>
      </c>
      <c r="X14" s="88" t="str">
        <v>Not established</v>
      </c>
      <c r="Y14" s="88" t="str">
        <v>Not established</v>
      </c>
      <c r="Z14" s="96" t="str"/>
      <c r="AA14" s="88" t="str">
        <v>https://www.pandadoc.com/</v>
      </c>
      <c r="AB14" s="88" t="str">
        <v>https://www.pandadoc.com/</v>
      </c>
    </row>
    <row r="15" ht="85" customHeight="1">
      <c r="A15" s="85" t="str">
        <v>INT-14</v>
      </c>
      <c r="B15" s="85" t="str">
        <v>DocSend / Dropbox</v>
      </c>
      <c r="C15" s="85" t="str">
        <v>https://www.docsend.com/</v>
      </c>
      <c r="D15" s="85" t="str">
        <v>Document SaaS</v>
      </c>
      <c r="E15" s="85" t="str">
        <v>Virtual data rooms; homepage states DocSend is part of Dropbox.</v>
      </c>
      <c r="F15" s="85" t="str">
        <v>Research advisory firms by fundraising and transaction use case.</v>
      </c>
      <c r="G15" s="85" t="str">
        <v>Business development lead</v>
      </c>
      <c r="H15" s="85" t="str">
        <v>Public sales enquiry page; customer-facing route</v>
      </c>
      <c r="I15" s="85" t="str">
        <v>Form / general business contact</v>
      </c>
      <c r="J15" s="95" t="n">
        <v>5</v>
      </c>
      <c r="K15" s="95" t="n">
        <v>3</v>
      </c>
      <c r="L15" s="95" t="n">
        <v>3</v>
      </c>
      <c r="M15" s="95" t="n">
        <v>5</v>
      </c>
      <c r="N15" s="86" t="n">
        <f>J15*6+K15*6+L15*4+M15*4</f>
        <v>80</v>
      </c>
      <c r="O15" s="85" t="str">
        <f>IF(N15&gt;=80,"A — research first",IF(N15&gt;=60,"B — qualify","C — enrich"))</f>
        <v>A — research first</v>
      </c>
      <c r="P15" s="85" t="str">
        <v>Segment 5: B2B profile; use case 3: Research advisory firms by fundraising and transaction use case. Route 3: Public sales enquiry page; customer-facing route. Evidence 5: Page and contact page reviewed.</v>
      </c>
      <c r="Q15" s="85" t="str">
        <v>Virtual data rooms; homepage states DocSend is part of Dropbox.</v>
      </c>
      <c r="R15" s="85" t="str">
        <v>Brand-level account; do not duplicate Dropbox in the same list.</v>
      </c>
      <c r="S15" s="85" t="str">
        <v>Confirm current contact, identify the role owner and validate need before outreach.</v>
      </c>
      <c r="T15" s="87" t="d">
        <v>2026-10-13T12:00:00.000Z</v>
      </c>
      <c r="U15" s="85" t="str">
        <v>Page and contact page reviewed</v>
      </c>
      <c r="V15" s="96" t="str">
        <v>Not contacted</v>
      </c>
      <c r="W15" s="85" t="str">
        <v>No; publication in source only</v>
      </c>
      <c r="X15" s="85" t="str">
        <v>Not established</v>
      </c>
      <c r="Y15" s="85" t="str">
        <v>Not established</v>
      </c>
      <c r="Z15" s="96" t="str"/>
      <c r="AA15" s="85" t="str">
        <v>https://www.docsend.com/</v>
      </c>
      <c r="AB15" s="85" t="str">
        <v>https://www.docsend.com/letschat/</v>
      </c>
    </row>
    <row r="16" ht="85" customHeight="1">
      <c r="A16" s="88" t="str">
        <v>INT-15</v>
      </c>
      <c r="B16" s="88" t="str">
        <v>Chili Piper</v>
      </c>
      <c r="C16" s="88" t="str">
        <v>https://www.chilipiper.com/</v>
      </c>
      <c r="D16" s="88" t="str">
        <v>Revenue operations</v>
      </c>
      <c r="E16" s="88" t="str">
        <v>Website conversion, form routing, meeting handoff and scheduling.</v>
      </c>
      <c r="F16" s="88" t="str">
        <v>Research RevOps consultancies supporting demo-led B2B teams.</v>
      </c>
      <c r="G16" s="88" t="str">
        <v>Partner development lead</v>
      </c>
      <c r="H16" s="88" t="str">
        <v>Partner Program and Book a demo links on homepage</v>
      </c>
      <c r="I16" s="88" t="str">
        <v>General / partner link</v>
      </c>
      <c r="J16" s="95" t="n">
        <v>5</v>
      </c>
      <c r="K16" s="95" t="n">
        <v>4</v>
      </c>
      <c r="L16" s="95" t="n">
        <v>2</v>
      </c>
      <c r="M16" s="95" t="n">
        <v>5</v>
      </c>
      <c r="N16" s="89" t="n">
        <f>J16*6+K16*6+L16*4+M16*4</f>
        <v>82</v>
      </c>
      <c r="O16" s="88" t="str">
        <f>IF(N16&gt;=80,"A — research first",IF(N16&gt;=60,"B — qualify","C — enrich"))</f>
        <v>A — research first</v>
      </c>
      <c r="P16" s="88" t="str">
        <v>Segment 5: B2B profile; use case 4: Research RevOps consultancies supporting demo-led B2B teams. Route 2: Partner Program and Book a demo links on homepage. Evidence 5: Page content reviewed.</v>
      </c>
      <c r="Q16" s="88" t="str">
        <v>Website conversion, form routing, meeting handoff and scheduling.</v>
      </c>
      <c r="R16" s="88" t="str">
        <v>Visible use case is not evidence of an open role or purchase.</v>
      </c>
      <c r="S16" s="88" t="str">
        <v>Confirm current contact, identify the role owner and validate need before outreach.</v>
      </c>
      <c r="T16" s="90" t="d">
        <v>2026-10-13T12:00:00.000Z</v>
      </c>
      <c r="U16" s="88" t="str">
        <v>Page content reviewed</v>
      </c>
      <c r="V16" s="96" t="str">
        <v>Not contacted</v>
      </c>
      <c r="W16" s="88" t="str">
        <v>No; publication in source only</v>
      </c>
      <c r="X16" s="88" t="str">
        <v>Not established</v>
      </c>
      <c r="Y16" s="88" t="str">
        <v>Not established</v>
      </c>
      <c r="Z16" s="96" t="str"/>
      <c r="AA16" s="88" t="str">
        <v>https://www.chilipiper.com/</v>
      </c>
      <c r="AB16" s="88" t="str">
        <v>https://www.chilipiper.com/</v>
      </c>
    </row>
  </sheetData>
  <conditionalFormatting sqref="N2:N16">
    <cfRule type="colorScale" priority="1">
      <colorScale>
        <cfvo type="min"/>
        <cfvo type="percentile" val="50"/>
        <cfvo type="max"/>
        <color rgb="FFF2E2D3"/>
        <color rgb="FFE6EAD8"/>
        <color rgb="FFB9DCAD"/>
      </colorScale>
    </cfRule>
  </conditionalFormatting>
  <dataValidations count="2">
    <dataValidation type="whole" operator="between" sqref="J2:M16">
      <formula1>0</formula1>
      <formula2>5</formula2>
    </dataValidation>
    <dataValidation type="list" sqref="V2:V16">
      <formula1>"Not contacted,Drafting,Contacted,Replied,Not relevant"</formula1>
    </dataValidation>
  </dataValidations>
  <hyperlinks>
    <hyperlink ref="C2" r:id="portfolioLink0"/>
    <hyperlink ref="AA2" r:id="portfolioLink1"/>
    <hyperlink ref="AB2" r:id="portfolioLink2"/>
    <hyperlink ref="C3" r:id="portfolioLink3"/>
    <hyperlink ref="AA3" r:id="portfolioLink4"/>
    <hyperlink ref="AB3" r:id="portfolioLink5"/>
    <hyperlink ref="C4" r:id="portfolioLink6"/>
    <hyperlink ref="AA4" r:id="portfolioLink7"/>
    <hyperlink ref="AB4" r:id="portfolioLink8"/>
    <hyperlink ref="C5" r:id="portfolioLink9"/>
    <hyperlink ref="AA5" r:id="portfolioLink10"/>
    <hyperlink ref="AB5" r:id="portfolioLink11"/>
    <hyperlink ref="C6" r:id="portfolioLink12"/>
    <hyperlink ref="AA6" r:id="portfolioLink13"/>
    <hyperlink ref="AB6" r:id="portfolioLink14"/>
    <hyperlink ref="C7" r:id="portfolioLink15"/>
    <hyperlink ref="AA7" r:id="portfolioLink16"/>
    <hyperlink ref="AB7" r:id="portfolioLink17"/>
    <hyperlink ref="C8" r:id="portfolioLink18"/>
    <hyperlink ref="AA8" r:id="portfolioLink19"/>
    <hyperlink ref="AB8" r:id="portfolioLink20"/>
    <hyperlink ref="C9" r:id="portfolioLink21"/>
    <hyperlink ref="AA9" r:id="portfolioLink22"/>
    <hyperlink ref="AB9" r:id="portfolioLink23"/>
    <hyperlink ref="C10" r:id="portfolioLink24"/>
    <hyperlink ref="AA10" r:id="portfolioLink25"/>
    <hyperlink ref="AB10" r:id="portfolioLink26"/>
    <hyperlink ref="C11" r:id="portfolioLink27"/>
    <hyperlink ref="AA11" r:id="portfolioLink28"/>
    <hyperlink ref="AB11" r:id="portfolioLink29"/>
    <hyperlink ref="C12" r:id="portfolioLink30"/>
    <hyperlink ref="AA12" r:id="portfolioLink31"/>
    <hyperlink ref="AB12" r:id="portfolioLink32"/>
    <hyperlink ref="C13" r:id="portfolioLink33"/>
    <hyperlink ref="AA13" r:id="portfolioLink34"/>
    <hyperlink ref="AB13" r:id="portfolioLink35"/>
    <hyperlink ref="C14" r:id="portfolioLink36"/>
    <hyperlink ref="AA14" r:id="portfolioLink37"/>
    <hyperlink ref="AB14" r:id="portfolioLink38"/>
    <hyperlink ref="C15" r:id="portfolioLink39"/>
    <hyperlink ref="AA15" r:id="portfolioLink40"/>
    <hyperlink ref="AB15" r:id="portfolioLink41"/>
    <hyperlink ref="C16" r:id="portfolioLink42"/>
    <hyperlink ref="AA16" r:id="portfolioLink43"/>
    <hyperlink ref="AB16" r:id="portfolioLink44"/>
  </hyperlinks>
  <pageMargins left="0.7" right="0.7" top="0.75" bottom="0.75" header="0.3" footer="0.3"/>
  <tableParts count="1">
    <tablePart r:id="Rcff6efe603bb4d5a"/>
  </tableParts>
</worksheet>
</file>

<file path=xl/worksheets/sheet6.xml><?xml version="1.0" encoding="utf-8"?>
<worksheet xmlns="http://schemas.openxmlformats.org/spreadsheetml/2006/main">
  <sheetPr>
    <tabColor rgb="FFC7CDC2"/>
  </sheetPr>
  <sheetViews>
    <sheetView showGridLines="0" workbookViewId="0"/>
  </sheetViews>
  <sheetFormatPr defaultRowHeight="15"/>
  <cols>
    <col min="1" max="1" width="14" hidden="0" customWidth="1"/>
    <col min="2" max="2" width="14" hidden="0" customWidth="1"/>
    <col min="3" max="3" width="14" hidden="0" customWidth="1"/>
    <col min="4" max="4" width="14" hidden="0" customWidth="1"/>
    <col min="5" max="5" width="14" hidden="0" customWidth="1"/>
    <col min="6" max="6" width="14" hidden="0" customWidth="1"/>
    <col min="7" max="7" width="14" hidden="0" customWidth="1"/>
    <col min="8" max="8" width="14" hidden="0" customWidth="1"/>
  </cols>
  <sheetData>
    <row r="1" ht="12" customHeight="1">
      <c r="A1" s="28"/>
      <c r="B1" s="28"/>
      <c r="C1" s="28"/>
      <c r="D1" s="28"/>
      <c r="E1" s="28"/>
      <c r="F1" s="28"/>
      <c r="G1" s="28"/>
      <c r="H1" s="28"/>
    </row>
    <row r="2" ht="35" customHeight="1">
      <c r="A2" s="33" t="str">
        <v>Outreach examples</v>
      </c>
      <c r="B2" s="33"/>
      <c r="C2" s="33"/>
      <c r="D2" s="33"/>
      <c r="E2" s="33"/>
      <c r="F2" s="33"/>
      <c r="G2" s="33"/>
      <c r="H2" s="33"/>
    </row>
    <row r="3" ht="30" customHeight="1">
      <c r="A3" s="32" t="str">
        <v>These drafts were not sent. Use after contact review and scope approval.</v>
      </c>
      <c r="B3" s="32"/>
      <c r="C3" s="32"/>
      <c r="D3" s="32"/>
      <c r="E3" s="32"/>
      <c r="F3" s="32"/>
      <c r="G3" s="32"/>
      <c r="H3" s="32"/>
    </row>
    <row r="4" ht="23" customHeight="1">
      <c r="A4" s="28"/>
      <c r="B4" s="28"/>
      <c r="C4" s="28"/>
      <c r="D4" s="28"/>
      <c r="E4" s="28"/>
      <c r="F4" s="28"/>
      <c r="G4" s="28"/>
      <c r="H4" s="28"/>
    </row>
    <row r="5" ht="30" customHeight="1">
      <c r="A5" s="107" t="str">
        <v>01   First message / Aircall</v>
      </c>
      <c r="B5" s="107"/>
      <c r="C5" s="107"/>
      <c r="D5" s="107"/>
      <c r="E5" s="107"/>
      <c r="F5" s="107"/>
      <c r="G5" s="107"/>
      <c r="H5" s="107"/>
    </row>
    <row r="6" ht="21" customHeight="1">
      <c r="A6" s="35" t="str">
        <v>Evidence basis</v>
      </c>
      <c r="B6" s="35"/>
      <c r="C6" s="32" t="str">
        <v>Official site describes CRM integrations and channel partners.</v>
      </c>
      <c r="D6" s="32"/>
      <c r="E6" s="32"/>
      <c r="F6" s="32"/>
      <c r="G6" s="32"/>
      <c r="H6" s="32"/>
    </row>
    <row r="7" ht="23" customHeight="1">
      <c r="A7" s="28"/>
      <c r="B7" s="28"/>
      <c r="C7" s="32"/>
      <c r="D7" s="32"/>
      <c r="E7" s="32"/>
      <c r="F7" s="32"/>
      <c r="G7" s="32"/>
      <c r="H7" s="32"/>
    </row>
    <row r="8" ht="23" customHeight="1">
      <c r="A8" s="54" t="str">
        <v>Hi, I noticed Aircall’s CRM integrations and channel-partner offering. I’m Ansar Kilash, looking for a B2B research role or a scoped research contract. I can prepare a small sample of CRM integrators in an agreed region, with sources, fit rationale and next actions. Who would be the right person to discuss partner research with?</v>
      </c>
      <c r="B8" s="54"/>
      <c r="C8" s="54"/>
      <c r="D8" s="54"/>
      <c r="E8" s="54"/>
      <c r="F8" s="54"/>
      <c r="G8" s="54"/>
      <c r="H8" s="54"/>
    </row>
    <row r="9" ht="23" customHeight="1">
      <c r="A9" s="54"/>
      <c r="B9" s="54"/>
      <c r="C9" s="54"/>
      <c r="D9" s="54"/>
      <c r="E9" s="54"/>
      <c r="F9" s="54"/>
      <c r="G9" s="54"/>
      <c r="H9" s="54"/>
    </row>
    <row r="10" ht="23" customHeight="1">
      <c r="A10" s="54"/>
      <c r="B10" s="54"/>
      <c r="C10" s="54"/>
      <c r="D10" s="54"/>
      <c r="E10" s="54"/>
      <c r="F10" s="54"/>
      <c r="G10" s="54"/>
      <c r="H10" s="54"/>
    </row>
    <row r="11" ht="23" customHeight="1">
      <c r="A11" s="54"/>
      <c r="B11" s="54"/>
      <c r="C11" s="54"/>
      <c r="D11" s="54"/>
      <c r="E11" s="54"/>
      <c r="F11" s="54"/>
      <c r="G11" s="54"/>
      <c r="H11" s="54"/>
    </row>
    <row r="12" ht="23" customHeight="1">
      <c r="A12" s="54"/>
      <c r="B12" s="54"/>
      <c r="C12" s="54"/>
      <c r="D12" s="54"/>
      <c r="E12" s="54"/>
      <c r="F12" s="54"/>
      <c r="G12" s="54"/>
      <c r="H12" s="54"/>
    </row>
    <row r="13" ht="21" customHeight="1">
      <c r="A13" s="35" t="str">
        <v>Use condition</v>
      </c>
      <c r="B13" s="35"/>
      <c r="C13" s="32" t="str">
        <v>First establish an appropriate business contact. Do not treat a customer demo form as a bulk vendor-outreach channel.</v>
      </c>
      <c r="D13" s="32"/>
      <c r="E13" s="32"/>
      <c r="F13" s="32"/>
      <c r="G13" s="32"/>
      <c r="H13" s="32"/>
    </row>
    <row r="14" ht="21" customHeight="1">
      <c r="A14" s="35"/>
      <c r="B14" s="35"/>
      <c r="C14" s="32"/>
      <c r="D14" s="32"/>
      <c r="E14" s="32"/>
      <c r="F14" s="32"/>
      <c r="G14" s="32"/>
      <c r="H14" s="32"/>
    </row>
    <row r="15" ht="21" customHeight="1">
      <c r="A15" s="35" t="str">
        <v>Next action</v>
      </c>
      <c r="B15" s="35"/>
      <c r="C15" s="109" t="str">
        <v>Qualify territory, exclusions and sample acceptance criteria.</v>
      </c>
      <c r="D15" s="109"/>
      <c r="E15" s="109"/>
      <c r="F15" s="109"/>
      <c r="G15" s="109"/>
      <c r="H15" s="109"/>
    </row>
    <row r="16" ht="21" customHeight="1">
      <c r="A16" s="35"/>
      <c r="B16" s="35"/>
      <c r="C16" s="109"/>
      <c r="D16" s="109"/>
      <c r="E16" s="109"/>
      <c r="F16" s="109"/>
      <c r="G16" s="109"/>
      <c r="H16" s="109"/>
    </row>
    <row r="17" ht="23" customHeight="1">
      <c r="A17" s="28"/>
      <c r="B17" s="28"/>
      <c r="C17" s="28"/>
      <c r="D17" s="28"/>
      <c r="E17" s="28"/>
      <c r="F17" s="28"/>
      <c r="G17" s="28"/>
      <c r="H17" s="28"/>
    </row>
    <row r="18" ht="30" customHeight="1">
      <c r="A18" s="107" t="str">
        <v>02   Follow-up / after first message</v>
      </c>
      <c r="B18" s="107"/>
      <c r="C18" s="107"/>
      <c r="D18" s="107"/>
      <c r="E18" s="107"/>
      <c r="F18" s="107"/>
      <c r="G18" s="107"/>
      <c r="H18" s="107"/>
    </row>
    <row r="19" ht="21" customHeight="1">
      <c r="A19" s="35" t="str">
        <v>Evidence basis</v>
      </c>
      <c r="B19" s="35"/>
      <c r="C19" s="32" t="str">
        <v>Use only after a real first message on an appropriate channel.</v>
      </c>
      <c r="D19" s="32"/>
      <c r="E19" s="32"/>
      <c r="F19" s="32"/>
      <c r="G19" s="32"/>
      <c r="H19" s="32"/>
    </row>
    <row r="20" ht="23" customHeight="1">
      <c r="A20" s="28"/>
      <c r="B20" s="28"/>
      <c r="C20" s="32"/>
      <c r="D20" s="32"/>
      <c r="E20" s="32"/>
      <c r="F20" s="32"/>
      <c r="G20" s="32"/>
      <c r="H20" s="32"/>
    </row>
    <row r="21" ht="23" customHeight="1">
      <c r="A21" s="54" t="str">
        <v>Hi, following up on the partner-research idea. I can share a small, source-linked sample of CRM integrators so you can assess the format. If this is not relevant, let me know and I will stop following up.</v>
      </c>
      <c r="B21" s="54"/>
      <c r="C21" s="54"/>
      <c r="D21" s="54"/>
      <c r="E21" s="54"/>
      <c r="F21" s="54"/>
      <c r="G21" s="54"/>
      <c r="H21" s="54"/>
    </row>
    <row r="22" ht="23" customHeight="1">
      <c r="A22" s="54"/>
      <c r="B22" s="54"/>
      <c r="C22" s="54"/>
      <c r="D22" s="54"/>
      <c r="E22" s="54"/>
      <c r="F22" s="54"/>
      <c r="G22" s="54"/>
      <c r="H22" s="54"/>
    </row>
    <row r="23" ht="23" customHeight="1">
      <c r="A23" s="54"/>
      <c r="B23" s="54"/>
      <c r="C23" s="54"/>
      <c r="D23" s="54"/>
      <c r="E23" s="54"/>
      <c r="F23" s="54"/>
      <c r="G23" s="54"/>
      <c r="H23" s="54"/>
    </row>
    <row r="24" ht="23" customHeight="1">
      <c r="A24" s="54"/>
      <c r="B24" s="54"/>
      <c r="C24" s="54"/>
      <c r="D24" s="54"/>
      <c r="E24" s="54"/>
      <c r="F24" s="54"/>
      <c r="G24" s="54"/>
      <c r="H24" s="54"/>
    </row>
    <row r="25" ht="23" customHeight="1">
      <c r="A25" s="54"/>
      <c r="B25" s="54"/>
      <c r="C25" s="54"/>
      <c r="D25" s="54"/>
      <c r="E25" s="54"/>
      <c r="F25" s="54"/>
      <c r="G25" s="54"/>
      <c r="H25" s="54"/>
    </row>
    <row r="26" ht="21" customHeight="1">
      <c r="A26" s="35" t="str">
        <v>Use condition</v>
      </c>
      <c r="B26" s="35"/>
      <c r="C26" s="32" t="str">
        <v>Not sent. Agree timing and attempt limits with the company; stop after a refusal.</v>
      </c>
      <c r="D26" s="32"/>
      <c r="E26" s="32"/>
      <c r="F26" s="32"/>
      <c r="G26" s="32"/>
      <c r="H26" s="32"/>
    </row>
    <row r="27" ht="21" customHeight="1">
      <c r="A27" s="35"/>
      <c r="B27" s="35"/>
      <c r="C27" s="32"/>
      <c r="D27" s="32"/>
      <c r="E27" s="32"/>
      <c r="F27" s="32"/>
      <c r="G27" s="32"/>
      <c r="H27" s="32"/>
    </row>
    <row r="28" ht="21" customHeight="1">
      <c r="A28" s="35" t="str">
        <v>Next action</v>
      </c>
      <c r="B28" s="35"/>
      <c r="C28" s="109" t="str">
        <v>Record the reply or stop; silence is not buying intent.</v>
      </c>
      <c r="D28" s="109"/>
      <c r="E28" s="109"/>
      <c r="F28" s="109"/>
      <c r="G28" s="109"/>
      <c r="H28" s="109"/>
    </row>
    <row r="29" ht="21" customHeight="1">
      <c r="A29" s="35"/>
      <c r="B29" s="35"/>
      <c r="C29" s="109"/>
      <c r="D29" s="109"/>
      <c r="E29" s="109"/>
      <c r="F29" s="109"/>
      <c r="G29" s="109"/>
      <c r="H29" s="109"/>
    </row>
    <row r="30" ht="23" customHeight="1">
      <c r="A30" s="28"/>
      <c r="B30" s="28"/>
      <c r="C30" s="28"/>
      <c r="D30" s="28"/>
      <c r="E30" s="28"/>
      <c r="F30" s="28"/>
      <c r="G30" s="28"/>
      <c r="H30" s="28"/>
    </row>
    <row r="31" ht="30" customHeight="1">
      <c r="A31" s="107" t="str">
        <v>03   Qualification / after a reply</v>
      </c>
      <c r="B31" s="107"/>
      <c r="C31" s="107"/>
      <c r="D31" s="107"/>
      <c r="E31" s="107"/>
      <c r="F31" s="107"/>
      <c r="G31" s="107"/>
      <c r="H31" s="107"/>
    </row>
    <row r="32" ht="21" customHeight="1">
      <c r="A32" s="35" t="str">
        <v>Evidence basis</v>
      </c>
      <c r="B32" s="35"/>
      <c r="C32" s="32" t="str">
        <v>Only after an actual reply.</v>
      </c>
      <c r="D32" s="32"/>
      <c r="E32" s="32"/>
      <c r="F32" s="32"/>
      <c r="G32" s="32"/>
      <c r="H32" s="32"/>
    </row>
    <row r="33" ht="23" customHeight="1">
      <c r="A33" s="28"/>
      <c r="B33" s="28"/>
      <c r="C33" s="32"/>
      <c r="D33" s="32"/>
      <c r="E33" s="32"/>
      <c r="F33" s="32"/>
      <c r="G33" s="32"/>
      <c r="H33" s="32"/>
    </row>
    <row r="34" ht="23" customHeight="1">
      <c r="A34" s="54" t="str">
        <v>Thanks. Which regions and partner types are priorities? Which accounts should be excluded? What fields are required, and who will review the sample? Do you need research only, or also approved outreach and meeting handoff?</v>
      </c>
      <c r="B34" s="54"/>
      <c r="C34" s="54"/>
      <c r="D34" s="54"/>
      <c r="E34" s="54"/>
      <c r="F34" s="54"/>
      <c r="G34" s="54"/>
      <c r="H34" s="54"/>
    </row>
    <row r="35" ht="23" customHeight="1">
      <c r="A35" s="54"/>
      <c r="B35" s="54"/>
      <c r="C35" s="54"/>
      <c r="D35" s="54"/>
      <c r="E35" s="54"/>
      <c r="F35" s="54"/>
      <c r="G35" s="54"/>
      <c r="H35" s="54"/>
    </row>
    <row r="36" ht="23" customHeight="1">
      <c r="A36" s="54"/>
      <c r="B36" s="54"/>
      <c r="C36" s="54"/>
      <c r="D36" s="54"/>
      <c r="E36" s="54"/>
      <c r="F36" s="54"/>
      <c r="G36" s="54"/>
      <c r="H36" s="54"/>
    </row>
    <row r="37" ht="23" customHeight="1">
      <c r="A37" s="54"/>
      <c r="B37" s="54"/>
      <c r="C37" s="54"/>
      <c r="D37" s="54"/>
      <c r="E37" s="54"/>
      <c r="F37" s="54"/>
      <c r="G37" s="54"/>
      <c r="H37" s="54"/>
    </row>
    <row r="38" ht="23" customHeight="1">
      <c r="A38" s="54"/>
      <c r="B38" s="54"/>
      <c r="C38" s="54"/>
      <c r="D38" s="54"/>
      <c r="E38" s="54"/>
      <c r="F38" s="54"/>
      <c r="G38" s="54"/>
      <c r="H38" s="54"/>
    </row>
    <row r="39" ht="21" customHeight="1">
      <c r="A39" s="35" t="str">
        <v>Use condition</v>
      </c>
      <c r="B39" s="35"/>
      <c r="C39" s="32" t="str">
        <v>No real replies exist in this sample.</v>
      </c>
      <c r="D39" s="32"/>
      <c r="E39" s="32"/>
      <c r="F39" s="32"/>
      <c r="G39" s="32"/>
      <c r="H39" s="32"/>
    </row>
    <row r="40" ht="21" customHeight="1">
      <c r="A40" s="35"/>
      <c r="B40" s="35"/>
      <c r="C40" s="32"/>
      <c r="D40" s="32"/>
      <c r="E40" s="32"/>
      <c r="F40" s="32"/>
      <c r="G40" s="32"/>
      <c r="H40" s="32"/>
    </row>
    <row r="41" ht="21" customHeight="1">
      <c r="A41" s="35" t="str">
        <v>Next action</v>
      </c>
      <c r="B41" s="35"/>
      <c r="C41" s="109" t="str">
        <v>Agree scope, acceptance criteria and next step.</v>
      </c>
      <c r="D41" s="109"/>
      <c r="E41" s="109"/>
      <c r="F41" s="109"/>
      <c r="G41" s="109"/>
      <c r="H41" s="109"/>
    </row>
    <row r="42" ht="21" customHeight="1">
      <c r="A42" s="35"/>
      <c r="B42" s="35"/>
      <c r="C42" s="109"/>
      <c r="D42" s="109"/>
      <c r="E42" s="109"/>
      <c r="F42" s="109"/>
      <c r="G42" s="109"/>
      <c r="H42" s="109"/>
    </row>
    <row r="43" ht="23" customHeight="1">
      <c r="A43" s="28"/>
      <c r="B43" s="28"/>
      <c r="C43" s="28"/>
      <c r="D43" s="28"/>
      <c r="E43" s="28"/>
      <c r="F43" s="28"/>
      <c r="G43" s="28"/>
      <c r="H43" s="28"/>
    </row>
    <row r="44" ht="30" customHeight="1">
      <c r="A44" s="107" t="str">
        <v>04   Meeting handoff / template</v>
      </c>
      <c r="B44" s="107"/>
      <c r="C44" s="107"/>
      <c r="D44" s="107"/>
      <c r="E44" s="107"/>
      <c r="F44" s="107"/>
      <c r="G44" s="107"/>
      <c r="H44" s="107"/>
    </row>
    <row r="45" ht="21" customHeight="1">
      <c r="A45" s="35" t="str">
        <v>Evidence basis</v>
      </c>
      <c r="B45" s="35"/>
      <c r="C45" s="32" t="str">
        <v>Use only after participants agree; an incomplete template is not a meeting.</v>
      </c>
      <c r="D45" s="32"/>
      <c r="E45" s="32"/>
      <c r="F45" s="32"/>
      <c r="G45" s="32"/>
      <c r="H45" s="32"/>
    </row>
    <row r="46" ht="23" customHeight="1">
      <c r="A46" s="28"/>
      <c r="B46" s="28"/>
      <c r="C46" s="32"/>
      <c r="D46" s="32"/>
      <c r="E46" s="32"/>
      <c r="F46" s="32"/>
      <c r="G46" s="32"/>
      <c r="H46" s="32"/>
    </row>
    <row r="47" ht="23" customHeight="1">
      <c r="A47" s="54" t="str">
        <v>Company: [confirm]
Contact / role: [verify]
Problem / current process: [from reply]
Timing / budget: [from reply or unknown]
Date / time / time zone: [agree]
Agenda / participants / internal owner: [agree]</v>
      </c>
      <c r="B47" s="54"/>
      <c r="C47" s="54"/>
      <c r="D47" s="54"/>
      <c r="E47" s="54"/>
      <c r="F47" s="54"/>
      <c r="G47" s="54"/>
      <c r="H47" s="54"/>
    </row>
    <row r="48" ht="23" customHeight="1">
      <c r="A48" s="54"/>
      <c r="B48" s="54"/>
      <c r="C48" s="54"/>
      <c r="D48" s="54"/>
      <c r="E48" s="54"/>
      <c r="F48" s="54"/>
      <c r="G48" s="54"/>
      <c r="H48" s="54"/>
    </row>
    <row r="49" ht="23" customHeight="1">
      <c r="A49" s="54"/>
      <c r="B49" s="54"/>
      <c r="C49" s="54"/>
      <c r="D49" s="54"/>
      <c r="E49" s="54"/>
      <c r="F49" s="54"/>
      <c r="G49" s="54"/>
      <c r="H49" s="54"/>
    </row>
    <row r="50" ht="23" customHeight="1">
      <c r="A50" s="54"/>
      <c r="B50" s="54"/>
      <c r="C50" s="54"/>
      <c r="D50" s="54"/>
      <c r="E50" s="54"/>
      <c r="F50" s="54"/>
      <c r="G50" s="54"/>
      <c r="H50" s="54"/>
    </row>
    <row r="51" ht="23" customHeight="1">
      <c r="A51" s="54"/>
      <c r="B51" s="54"/>
      <c r="C51" s="54"/>
      <c r="D51" s="54"/>
      <c r="E51" s="54"/>
      <c r="F51" s="54"/>
      <c r="G51" s="54"/>
      <c r="H51" s="54"/>
    </row>
    <row r="52" ht="21" customHeight="1">
      <c r="A52" s="35" t="str">
        <v>Use condition</v>
      </c>
      <c r="B52" s="35"/>
      <c r="C52" s="32" t="str">
        <v>Explicit input fields; no meeting booked.</v>
      </c>
      <c r="D52" s="32"/>
      <c r="E52" s="32"/>
      <c r="F52" s="32"/>
      <c r="G52" s="32"/>
      <c r="H52" s="32"/>
    </row>
    <row r="53" ht="21" customHeight="1">
      <c r="A53" s="35"/>
      <c r="B53" s="35"/>
      <c r="C53" s="32"/>
      <c r="D53" s="32"/>
      <c r="E53" s="32"/>
      <c r="F53" s="32"/>
      <c r="G53" s="32"/>
      <c r="H53" s="32"/>
    </row>
    <row r="54" ht="21" customHeight="1">
      <c r="A54" s="35" t="str">
        <v>Next action</v>
      </c>
      <c r="B54" s="35"/>
      <c r="C54" s="109" t="str">
        <v>Confirm consent, time, participants, role and agenda.</v>
      </c>
      <c r="D54" s="109"/>
      <c r="E54" s="109"/>
      <c r="F54" s="109"/>
      <c r="G54" s="109"/>
      <c r="H54" s="109"/>
    </row>
    <row r="55" ht="21" customHeight="1">
      <c r="A55" s="35"/>
      <c r="B55" s="35"/>
      <c r="C55" s="109"/>
      <c r="D55" s="109"/>
      <c r="E55" s="109"/>
      <c r="F55" s="109"/>
      <c r="G55" s="109"/>
      <c r="H55" s="109"/>
    </row>
    <row r="56" ht="23" customHeight="1">
      <c r="A56" s="28"/>
      <c r="B56" s="28"/>
      <c r="C56" s="28"/>
      <c r="D56" s="28"/>
      <c r="E56" s="28"/>
      <c r="F56" s="28"/>
      <c r="G56" s="28"/>
      <c r="H56" s="28"/>
    </row>
    <row r="57" ht="23" customHeight="1">
      <c r="A57" s="28"/>
      <c r="B57" s="28"/>
      <c r="C57" s="28"/>
      <c r="D57" s="28"/>
      <c r="E57" s="28"/>
      <c r="F57" s="28"/>
      <c r="G57" s="28"/>
      <c r="H57" s="28"/>
    </row>
    <row r="58" ht="30" customHeight="1">
      <c r="A58" s="53" t="str">
        <v>← Overview</v>
      </c>
      <c r="B58" s="53"/>
      <c r="C58" s="53"/>
      <c r="D58" s="53"/>
      <c r="E58" s="28"/>
      <c r="F58" s="28"/>
      <c r="G58" s="28"/>
      <c r="H58" s="28"/>
    </row>
    <row r="59" ht="23" customHeight="1">
      <c r="A59" s="28"/>
      <c r="B59" s="28"/>
      <c r="C59" s="28"/>
      <c r="D59" s="28"/>
      <c r="E59" s="28"/>
      <c r="F59" s="28"/>
      <c r="G59" s="28"/>
      <c r="H59" s="28"/>
    </row>
  </sheetData>
  <mergeCells>
    <mergeCell ref="A2:H2"/>
    <mergeCell ref="A3:H3"/>
    <mergeCell ref="A5:H5"/>
    <mergeCell ref="A6:B6"/>
    <mergeCell ref="C6:H7"/>
    <mergeCell ref="A8:H12"/>
    <mergeCell ref="A13:B14"/>
    <mergeCell ref="C13:H14"/>
    <mergeCell ref="A15:B16"/>
    <mergeCell ref="C15:H16"/>
    <mergeCell ref="A18:H18"/>
    <mergeCell ref="A19:B19"/>
    <mergeCell ref="C19:H20"/>
    <mergeCell ref="A21:H25"/>
    <mergeCell ref="A26:B27"/>
    <mergeCell ref="C26:H27"/>
    <mergeCell ref="A28:B29"/>
    <mergeCell ref="C28:H29"/>
    <mergeCell ref="A31:H31"/>
    <mergeCell ref="A32:B32"/>
    <mergeCell ref="C32:H33"/>
    <mergeCell ref="A34:H38"/>
    <mergeCell ref="A39:B40"/>
    <mergeCell ref="C39:H40"/>
    <mergeCell ref="A41:B42"/>
    <mergeCell ref="C41:H42"/>
    <mergeCell ref="A44:H44"/>
    <mergeCell ref="A45:B45"/>
    <mergeCell ref="C45:H46"/>
    <mergeCell ref="A47:H51"/>
    <mergeCell ref="A52:B53"/>
    <mergeCell ref="C52:H53"/>
    <mergeCell ref="A54:B55"/>
    <mergeCell ref="C54:H55"/>
    <mergeCell ref="A58:D58"/>
  </mergeCells>
  <hyperlinks>
    <hyperlink ref="A58" location="'Overview'!A1" display="← Overview"/>
  </hyperlinks>
  <pageMargins left="0.7" right="0.7" top="0.75" bottom="0.75" header="0.3" footer="0.3"/>
</worksheet>
</file>