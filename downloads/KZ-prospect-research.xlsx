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1bb0e361b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13e93736ace04cfe"/>
    <x:sheet xmlns:r="http://schemas.openxmlformats.org/officeDocument/2006/relationships" name="Список" sheetId="2" r:id="R1e444c27c2b34d0e"/>
    <x:sheet xmlns:r="http://schemas.openxmlformats.org/officeDocument/2006/relationships" name="Карточка" sheetId="3" r:id="Rbd24b5b9c22a4d4a"/>
    <x:sheet xmlns:r="http://schemas.openxmlformats.org/officeDocument/2006/relationships" name="Методика" sheetId="4" r:id="Re973f82475fb4dd9"/>
    <x:sheet xmlns:r="http://schemas.openxmlformats.org/officeDocument/2006/relationships" name="Компании" sheetId="5" r:id="R8550ccc910b74829"/>
    <x:sheet xmlns:r="http://schemas.openxmlformats.org/officeDocument/2006/relationships" name="Обращения" sheetId="6" r:id="Ra7bc4b51aec1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8">
    <x:font>
      <x:sz val="11"/>
      <x:name val="Carlito"/>
    </x:font>
    <x:font>
      <x:sz val="10"/>
      <x:color rgb="FF172F31"/>
      <x:name val="Arial"/>
    </x:font>
    <x:font>
      <x:b/>
      <x:sz val="10"/>
      <x:color rgb="FFFFFFFF"/>
      <x:name val="Arial"/>
    </x:font>
    <x:font>
      <x:b/>
      <x:sz val="14"/>
      <x:color rgb="FF172F31"/>
      <x:name val="Arial"/>
    </x:font>
    <x:font>
      <x:sz val="11"/>
      <x:color rgb="FF173331"/>
      <x:name val="Arial"/>
    </x:font>
    <x:font>
      <x:b/>
      <x:sz val="17"/>
      <x:color rgb="FF173331"/>
      <x:name val="Arial"/>
    </x:font>
    <x:font>
      <x:sz val="10"/>
      <x:color rgb="FF64756C"/>
      <x:name val="Arial"/>
    </x:font>
    <x:font>
      <x:b/>
      <x:sz val="10"/>
      <x:color rgb="FF64756C"/>
      <x:name val="Arial"/>
    </x:font>
    <x:font>
      <x:b/>
      <x:sz val="23"/>
      <x:color rgb="FF173331"/>
      <x:name val="Arial"/>
    </x:font>
    <x:font>
      <x:b/>
      <x:sz val="11"/>
      <x:color rgb="FF173331"/>
      <x:name val="Arial"/>
    </x:font>
    <x:font>
      <x:b/>
      <x:sz val="11"/>
      <x:color rgb="FFFFFFFF"/>
      <x:name val="Arial"/>
    </x:font>
    <x:font>
      <x:b/>
      <x:sz val="14"/>
      <x:color rgb="FF173331"/>
      <x:name val="Arial"/>
    </x:font>
    <x:font>
      <x:b/>
      <x:sz val="13"/>
      <x:color rgb="FF173331"/>
      <x:name val="Arial"/>
    </x:font>
    <x:font>
      <x:b/>
      <x:sz val="15"/>
      <x:color rgb="FF173331"/>
      <x:name val="Arial"/>
    </x:font>
    <x:font>
      <x:sz val="10"/>
      <x:color rgb="FF173331"/>
      <x:name val="Arial"/>
    </x:font>
    <x:font>
      <x:sz val="11"/>
      <x:color rgb="FF64756C"/>
      <x:name val="Arial"/>
    </x:font>
    <x:font>
      <x:b/>
      <x:sz val="10"/>
      <x:color rgb="FF173331"/>
      <x:name val="Arial"/>
    </x:font>
    <x:font>
      <x:b/>
      <x:sz val="12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2F31"/>
      </x:patternFill>
    </x:fill>
    <x:fill>
      <x:patternFill patternType="solid">
        <x:fgColor rgb="FFFFF3D6"/>
      </x:patternFill>
    </x:fill>
    <x:fill>
      <x:patternFill patternType="solid">
        <x:fgColor rgb="FFF7F7F0"/>
      </x:patternFill>
    </x:fill>
    <x:fill>
      <x:patternFill patternType="solid">
        <x:fgColor rgb="FFFFFFFF"/>
      </x:patternFill>
    </x:fill>
    <x:fill>
      <x:patternFill patternType="solid">
        <x:fgColor rgb="FFF7F8F2"/>
      </x:patternFill>
    </x:fill>
    <x:fill>
      <x:patternFill patternType="solid">
        <x:fgColor rgb="FFDCEACF"/>
      </x:patternFill>
    </x:fill>
    <x:fill>
      <x:patternFill patternType="solid">
        <x:fgColor rgb="FFFFF0C7"/>
      </x:patternFill>
    </x:fill>
    <x:fill>
      <x:patternFill patternType="solid">
        <x:fgColor rgb="FFF6E4DC"/>
      </x:patternFill>
    </x:fill>
    <x:fill>
      <x:patternFill patternType="solid">
        <x:fgColor rgb="FF173331"/>
      </x:patternFill>
    </x:fill>
    <x:fill>
      <x:patternFill patternType="solid">
        <x:fgColor rgb="FF496B48"/>
      </x:patternFill>
    </x:fill>
    <x:fill>
      <x:patternFill patternType="solid">
        <x:fgColor rgb="FF786650"/>
      </x:patternFill>
    </x:fill>
    <x:fill>
      <x:patternFill patternType="solid">
        <x:fgColor rgb="FF596C7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AE2D5"/>
      </x:bottom>
      <x:diagonal/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11" fillId="6" borderId="1" xfId="0" applyNumberFormat="1" applyFont="1" applyFill="1" applyBorder="1" applyAlignment="1">
      <x:alignment vertical="center" wrapText="1"/>
    </x:xf>
    <x:xf numFmtId="201" fontId="11" fillId="5" borderId="1" xfId="0" applyNumberFormat="1" applyFont="1" applyFill="1" applyBorder="1" applyAlignment="1">
      <x:alignment vertical="center" wrapText="1"/>
    </x:xf>
    <x:xf numFmtId="201" fontId="11" fillId="6" borderId="1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201" fontId="1" fillId="6" borderId="0" xfId="0" applyNumberFormat="1" applyFont="1" applyFill="1" applyBorder="1" applyAlignment="1">
      <x:alignment horizontal="right" vertical="top" wrapText="1"/>
    </x:xf>
    <x:xf numFmtId="200" fontId="1" fillId="6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1" fontId="1" fillId="8" borderId="0" xfId="0" applyNumberFormat="1" applyFont="1" applyFill="1" applyBorder="1" applyAlignment="1">
      <x:alignment horizontal="right"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7" fillId="10" borderId="0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73331"/>
      </x:font>
      <x:fill>
        <x:patternFill patternType="solid">
          <x:bgColor rgb="FFDCEACF"/>
        </x:patternFill>
      </x:fill>
    </x:dxf>
    <x:dxf>
      <x:fill>
        <x:patternFill patternType="solid">
          <x:bgColor rgb="FFFFF0C7"/>
        </x:patternFill>
      </x:fill>
    </x:dxf>
    <x:dxf>
      <x:fill>
        <x:patternFill patternType="solid">
          <x:bgColor rgb="FFF6E4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e5da36bb54880" /><Relationship Type="http://schemas.openxmlformats.org/officeDocument/2006/relationships/theme" Target="/xl/theme/theme1.xml" Id="Rd53a7de552744c62" /><Relationship Type="http://schemas.openxmlformats.org/officeDocument/2006/relationships/sharedStrings" Target="/xl/sharedStrings.xml" Id="R6e0a508aa20c4427" /><Relationship Type="http://schemas.openxmlformats.org/officeDocument/2006/relationships/worksheet" Target="/xl/worksheets/sheet1.xml" Id="R13e93736ace04cfe" /><Relationship Type="http://schemas.openxmlformats.org/officeDocument/2006/relationships/worksheet" Target="/xl/worksheets/sheet2.xml" Id="R1e444c27c2b34d0e" /><Relationship Type="http://schemas.openxmlformats.org/officeDocument/2006/relationships/worksheet" Target="/xl/worksheets/sheet3.xml" Id="Rbd24b5b9c22a4d4a" /><Relationship Type="http://schemas.openxmlformats.org/officeDocument/2006/relationships/worksheet" Target="/xl/worksheets/sheet4.xml" Id="Re973f82475fb4dd9" /><Relationship Type="http://schemas.openxmlformats.org/officeDocument/2006/relationships/worksheet" Target="/xl/worksheets/sheet5.xml" Id="R8550ccc910b74829" /><Relationship Type="http://schemas.openxmlformats.org/officeDocument/2006/relationships/worksheet" Target="/xl/worksheets/sheet6.xml" Id="Ra7bc4b51aec14461" /></Relationships>
</file>

<file path=xl/tables/table1.xml><?xml version="1.0" encoding="utf-8"?>
<x:table xmlns:x="http://schemas.openxmlformats.org/spreadsheetml/2006/main" id="2" name="KZShortlist" displayName="KZShortlist" ref="A5:H20" headerRowCount="1" totalsRowCount="0" totalsRowShown="0">
  <x:tableColumns count="8">
    <x:tableColumn id="1" name="ID"/>
    <x:tableColumn id="2" name="Компания"/>
    <x:tableColumn id="3" name="Сегмент"/>
    <x:tableColumn id="4" name="Оценка /100"/>
    <x:tableColumn id="5" name="Приоритет"/>
    <x:tableColumn id="6" name="Контактный маршрут"/>
    <x:tableColumn id="7" name="Что уточнить"/>
    <x:tableColumn id="8" name="Статус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KZAccounts" displayName="KZAccounts" ref="A1:AB16" headerRowCount="1" totalsRowCount="0" totalsRowShown="0">
  <x:tableColumns count="28">
    <x:tableColumn id="1" name="ID"/>
    <x:tableColumn id="2" name="Компания / бренд"/>
    <x:tableColumn id="3" name="Сайт"/>
    <x:tableColumn id="4" name="Сегмент"/>
    <x:tableColumn id="5" name="Факт из источника"/>
    <x:tableColumn id="6" name="Гипотеза применения"/>
    <x:tableColumn id="7" name="Целевая роль (не ЛПР)"/>
    <x:tableColumn id="8" name="Публичный контакт / маршрут"/>
    <x:tableColumn id="9" name="Тип контакта"/>
    <x:tableColumn id="10" name="Сегмент 0–5"/>
    <x:tableColumn id="11" name="Сценарий 0–5"/>
    <x:tableColumn id="12" name="Маршрут 0–5"/>
    <x:tableColumn id="13" name="Источник 0–5"/>
    <x:tableColumn id="14" name="ICP-оценка /100"/>
    <x:tableColumn id="15" name="Приоритет исследования"/>
    <x:tableColumn id="16" name="Обоснование оценки"/>
    <x:tableColumn id="17" name="Плюс для research"/>
    <x:tableColumn id="18" name="Ограничение"/>
    <x:tableColumn id="19" name="Следующий шаг"/>
    <x:tableColumn id="20" name="Дата доступа"/>
    <x:tableColumn id="21" name="Объём проверки"/>
    <x:tableColumn id="22" name="Статус"/>
    <x:tableColumn id="23" name="Email / телефон проверен?"/>
    <x:tableColumn id="24" name="Бюджет / потребность"/>
    <x:tableColumn id="25" name="Размер компании"/>
    <x:tableColumn id="26" name="Владелец задачи"/>
    <x:tableColumn id="27" name="Исходный деловой источник"/>
    <x:tableColumn id="28" name="Источник контакта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1.xml" Id="R635de83453384651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table" Target="/xl/tables/table2.xml" Id="R14b9e0d3af2c45e7" /><ns0:Relationship Id="portfolioLink0" Type="http://schemas.openxmlformats.org/officeDocument/2006/relationships/hyperlink" Target="https://documentolog.com/en" TargetMode="External" /><ns0:Relationship Id="portfolioLink1" Type="http://schemas.openxmlformats.org/officeDocument/2006/relationships/hyperlink" Target="https://documentolog.com/en" TargetMode="External" /><ns0:Relationship Id="portfolioLink2" Type="http://schemas.openxmlformats.org/officeDocument/2006/relationships/hyperlink" Target="https://documentolog.com/en/contacts" TargetMode="External" /><ns0:Relationship Id="portfolioLink3" Type="http://schemas.openxmlformats.org/officeDocument/2006/relationships/hyperlink" Target="https://btsdigital.kz/" TargetMode="External" /><ns0:Relationship Id="portfolioLink4" Type="http://schemas.openxmlformats.org/officeDocument/2006/relationships/hyperlink" Target="https://btsdigital.kz/" TargetMode="External" /><ns0:Relationship Id="portfolioLink5" Type="http://schemas.openxmlformats.org/officeDocument/2006/relationships/hyperlink" Target="https://btsdigital.kz/" TargetMode="External" /><ns0:Relationship Id="portfolioLink6" Type="http://schemas.openxmlformats.org/officeDocument/2006/relationships/hyperlink" Target="https://wooppay.com/services" TargetMode="External" /><ns0:Relationship Id="portfolioLink7" Type="http://schemas.openxmlformats.org/officeDocument/2006/relationships/hyperlink" Target="https://wooppay.com/services" TargetMode="External" /><ns0:Relationship Id="portfolioLink8" Type="http://schemas.openxmlformats.org/officeDocument/2006/relationships/hyperlink" Target="https://wooppay.com/services" TargetMode="External" /><ns0:Relationship Id="portfolioLink9" Type="http://schemas.openxmlformats.org/officeDocument/2006/relationships/hyperlink" Target="https://cerebra.kz/" TargetMode="External" /><ns0:Relationship Id="portfolioLink10" Type="http://schemas.openxmlformats.org/officeDocument/2006/relationships/hyperlink" Target="https://cerebra.kz/" TargetMode="External" /><ns0:Relationship Id="portfolioLink11" Type="http://schemas.openxmlformats.org/officeDocument/2006/relationships/hyperlink" Target="https://cerebra.kz/" TargetMode="External" /><ns0:Relationship Id="portfolioLink12" Type="http://schemas.openxmlformats.org/officeDocument/2006/relationships/hyperlink" Target="https://idhost.telecom.kz/" TargetMode="External" /><ns0:Relationship Id="portfolioLink13" Type="http://schemas.openxmlformats.org/officeDocument/2006/relationships/hyperlink" Target="https://idhost.telecom.kz/" TargetMode="External" /><ns0:Relationship Id="portfolioLink14" Type="http://schemas.openxmlformats.org/officeDocument/2006/relationships/hyperlink" Target="https://idhost.telecom.kz/" TargetMode="External" /><ns0:Relationship Id="portfolioLink15" Type="http://schemas.openxmlformats.org/officeDocument/2006/relationships/hyperlink" Target="https://beeline.kz/kk" TargetMode="External" /><ns0:Relationship Id="portfolioLink16" Type="http://schemas.openxmlformats.org/officeDocument/2006/relationships/hyperlink" Target="https://beeline.kz/kk" TargetMode="External" /><ns0:Relationship Id="portfolioLink17" Type="http://schemas.openxmlformats.org/officeDocument/2006/relationships/hyperlink" Target="https://beeline.kz/kk" TargetMode="External" /><ns0:Relationship Id="portfolioLink18" Type="http://schemas.openxmlformats.org/officeDocument/2006/relationships/hyperlink" Target="https://onevision.kz/ru" TargetMode="External" /><ns0:Relationship Id="portfolioLink19" Type="http://schemas.openxmlformats.org/officeDocument/2006/relationships/hyperlink" Target="https://onevision.kz/ru" TargetMode="External" /><ns0:Relationship Id="portfolioLink20" Type="http://schemas.openxmlformats.org/officeDocument/2006/relationships/hyperlink" Target="https://onevision.kz/ru" TargetMode="External" /><ns0:Relationship Id="portfolioLink21" Type="http://schemas.openxmlformats.org/officeDocument/2006/relationships/hyperlink" Target="https://getrelog.com/" TargetMode="External" /><ns0:Relationship Id="portfolioLink22" Type="http://schemas.openxmlformats.org/officeDocument/2006/relationships/hyperlink" Target="https://getrelog.com/" TargetMode="External" /><ns0:Relationship Id="portfolioLink23" Type="http://schemas.openxmlformats.org/officeDocument/2006/relationships/hyperlink" Target="https://getrelog.com/" TargetMode="External" /><ns0:Relationship Id="portfolioLink24" Type="http://schemas.openxmlformats.org/officeDocument/2006/relationships/hyperlink" Target="https://www.citix.me/" TargetMode="External" /><ns0:Relationship Id="portfolioLink25" Type="http://schemas.openxmlformats.org/officeDocument/2006/relationships/hyperlink" Target="https://www.citix.me/" TargetMode="External" /><ns0:Relationship Id="portfolioLink26" Type="http://schemas.openxmlformats.org/officeDocument/2006/relationships/hyperlink" Target="https://www.citix.me/" TargetMode="External" /><ns0:Relationship Id="portfolioLink27" Type="http://schemas.openxmlformats.org/officeDocument/2006/relationships/hyperlink" Target="https://kazteleport.kz/" TargetMode="External" /><ns0:Relationship Id="portfolioLink28" Type="http://schemas.openxmlformats.org/officeDocument/2006/relationships/hyperlink" Target="https://kazteleport.kz/" TargetMode="External" /><ns0:Relationship Id="portfolioLink29" Type="http://schemas.openxmlformats.org/officeDocument/2006/relationships/hyperlink" Target="https://kazteleport.kz/contacts/" TargetMode="External" /><ns0:Relationship Id="portfolioLink30" Type="http://schemas.openxmlformats.org/officeDocument/2006/relationships/hyperlink" Target="https://ps.kz/" TargetMode="External" /><ns0:Relationship Id="portfolioLink31" Type="http://schemas.openxmlformats.org/officeDocument/2006/relationships/hyperlink" Target="https://docs.ps.kz/ru/hosting/website-builder/hosting-needed" TargetMode="External" /><ns0:Relationship Id="portfolioLink32" Type="http://schemas.openxmlformats.org/officeDocument/2006/relationships/hyperlink" Target="https://docs.ps.kz/ru/hosting/website-builder/hosting-needed" TargetMode="External" /><ns0:Relationship Id="portfolioLink33" Type="http://schemas.openxmlformats.org/officeDocument/2006/relationships/hyperlink" Target="https://hoster.kz/" TargetMode="External" /><ns0:Relationship Id="portfolioLink34" Type="http://schemas.openxmlformats.org/officeDocument/2006/relationships/hyperlink" Target="https://hoster.kz/support/personal-area/5462/manager%40hoster.kz" TargetMode="External" /><ns0:Relationship Id="portfolioLink35" Type="http://schemas.openxmlformats.org/officeDocument/2006/relationships/hyperlink" Target="https://hoster.kz/support/personal-area/5462/manager%40hoster.kz" TargetMode="External" /><ns0:Relationship Id="portfolioLink36" Type="http://schemas.openxmlformats.org/officeDocument/2006/relationships/hyperlink" Target="https://www.clockster.com/faq" TargetMode="External" /><ns0:Relationship Id="portfolioLink37" Type="http://schemas.openxmlformats.org/officeDocument/2006/relationships/hyperlink" Target="https://www.clockster.com/faq" TargetMode="External" /><ns0:Relationship Id="portfolioLink38" Type="http://schemas.openxmlformats.org/officeDocument/2006/relationships/hyperlink" Target="https://www.clockster.com/faq" TargetMode="External" /><ns0:Relationship Id="portfolioLink39" Type="http://schemas.openxmlformats.org/officeDocument/2006/relationships/hyperlink" Target="https://docs.tarlanpayments.kz/eng" TargetMode="External" /><ns0:Relationship Id="portfolioLink40" Type="http://schemas.openxmlformats.org/officeDocument/2006/relationships/hyperlink" Target="https://docs.tarlanpayments.kz/eng" TargetMode="External" /><ns0:Relationship Id="portfolioLink41" Type="http://schemas.openxmlformats.org/officeDocument/2006/relationships/hyperlink" Target="https://site.tarlanpayments.kz/" TargetMode="External" /><ns0:Relationship Id="portfolioLink42" Type="http://schemas.openxmlformats.org/officeDocument/2006/relationships/hyperlink" Target="https://www.hosti.kz/" TargetMode="External" /><ns0:Relationship Id="portfolioLink43" Type="http://schemas.openxmlformats.org/officeDocument/2006/relationships/hyperlink" Target="https://www.hosti.kz/" TargetMode="External" /><ns0:Relationship Id="portfolioLink44" Type="http://schemas.openxmlformats.org/officeDocument/2006/relationships/hyperlink" Target="https://www.hosti.kz/" TargetMode="External" /></ns0:Relationships>
</file>

<file path=xl/worksheets/sheet1.xml><?xml version="1.0" encoding="utf-8"?>
<worksheet xmlns="http://schemas.openxmlformats.org/spreadsheetml/2006/main">
  <sheetPr>
    <tabColor rgb="FF173331"/>
  </sheetPr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28"/>
      <c r="B1" s="28"/>
      <c r="C1" s="28"/>
      <c r="D1" s="28"/>
      <c r="E1" s="28"/>
      <c r="F1" s="28"/>
      <c r="G1" s="28"/>
      <c r="H1" s="28"/>
    </row>
    <row r="2" ht="35" customHeight="1">
      <c r="A2" s="33" t="str">
        <v>B2B research · Казахстан</v>
      </c>
      <c r="B2" s="33"/>
      <c r="C2" s="33"/>
      <c r="D2" s="33"/>
      <c r="E2" s="33"/>
      <c r="F2" s="33"/>
      <c r="G2" s="33"/>
      <c r="H2" s="33"/>
    </row>
    <row r="3" ht="30" customHeight="1">
      <c r="A3" s="32" t="str">
        <v>Ansar Kilash  /  15 компаний  /  Демонстрационное исследование</v>
      </c>
      <c r="B3" s="32"/>
      <c r="C3" s="32"/>
      <c r="D3" s="32"/>
      <c r="E3" s="32"/>
      <c r="F3" s="32"/>
      <c r="G3" s="32"/>
      <c r="H3" s="32"/>
    </row>
    <row r="4" ht="23" customHeight="1">
      <c r="A4" s="28"/>
      <c r="B4" s="28"/>
      <c r="C4" s="28"/>
      <c r="D4" s="28"/>
      <c r="E4" s="28"/>
      <c r="F4" s="28"/>
      <c r="G4" s="28"/>
      <c r="H4" s="28"/>
    </row>
    <row r="5" ht="21" customHeight="1">
      <c r="A5" s="35" t="str">
        <v>Всего компаний</v>
      </c>
      <c r="B5" s="35"/>
      <c r="C5" s="35" t="str">
        <v>A · изучить первым</v>
      </c>
      <c r="D5" s="35"/>
      <c r="E5" s="35" t="str">
        <v>B · уточнить</v>
      </c>
      <c r="F5" s="35"/>
      <c r="G5" s="35" t="str">
        <v>C · обогатить</v>
      </c>
      <c r="H5" s="35"/>
    </row>
    <row r="6" ht="23" customHeight="1">
      <c r="A6" s="39" t="n">
        <f>COUNTA('Компании'!A2:A16)</f>
        <v>15</v>
      </c>
      <c r="B6" s="39"/>
      <c r="C6" s="43" t="n">
        <f>COUNTIFS('Компании'!N2:N16,"&gt;=80")</f>
        <v>7</v>
      </c>
      <c r="D6" s="43"/>
      <c r="E6" s="47" t="n">
        <f>COUNTIFS('Компании'!N2:N16,"&gt;=60",'Компании'!N2:N16,"&lt;80")</f>
        <v>5</v>
      </c>
      <c r="F6" s="47"/>
      <c r="G6" s="51" t="n">
        <f>COUNTIFS('Компании'!N2:N16,"&lt;60")</f>
        <v>3</v>
      </c>
      <c r="H6" s="51"/>
    </row>
    <row r="7" ht="23" customHeight="1">
      <c r="A7" s="39"/>
      <c r="B7" s="39"/>
      <c r="C7" s="43"/>
      <c r="D7" s="43"/>
      <c r="E7" s="47"/>
      <c r="F7" s="47"/>
      <c r="G7" s="51"/>
      <c r="H7" s="51"/>
    </row>
    <row r="8" ht="23" customHeight="1">
      <c r="A8" s="28"/>
      <c r="B8" s="28"/>
      <c r="C8" s="28"/>
      <c r="D8" s="28"/>
      <c r="E8" s="28"/>
      <c r="F8" s="28"/>
      <c r="G8" s="28"/>
      <c r="H8" s="28"/>
    </row>
    <row r="9" ht="21" customHeight="1">
      <c r="A9" s="35" t="str">
        <v>НАЧНИТЕ ЗДЕСЬ</v>
      </c>
      <c r="B9" s="35"/>
      <c r="C9" s="35"/>
      <c r="D9" s="35"/>
      <c r="E9" s="35"/>
      <c r="F9" s="35"/>
      <c r="G9" s="35"/>
      <c r="H9" s="35"/>
    </row>
    <row r="10" ht="30" customHeight="1">
      <c r="A10" s="53" t="str">
        <v>01   Список компаний →</v>
      </c>
      <c r="B10" s="53"/>
      <c r="C10" s="53"/>
      <c r="D10" s="53"/>
      <c r="E10" s="32" t="str">
        <v>Быстро сравните компании, оценки и доступность контакта. Фильтры — в заголовках.</v>
      </c>
      <c r="F10" s="32"/>
      <c r="G10" s="32"/>
      <c r="H10" s="32"/>
    </row>
    <row r="11" ht="30" customHeight="1">
      <c r="A11" s="53"/>
      <c r="B11" s="53"/>
      <c r="C11" s="53"/>
      <c r="D11" s="53"/>
      <c r="E11" s="32"/>
      <c r="F11" s="32"/>
      <c r="G11" s="32"/>
      <c r="H11" s="32"/>
    </row>
    <row r="12" ht="23" customHeight="1">
      <c r="A12" s="28"/>
      <c r="B12" s="28"/>
      <c r="C12" s="28"/>
      <c r="D12" s="28"/>
      <c r="E12" s="28"/>
      <c r="F12" s="28"/>
      <c r="G12" s="28"/>
      <c r="H12" s="28"/>
    </row>
    <row r="13" ht="30" customHeight="1">
      <c r="A13" s="53" t="str">
        <v>02   Карточка компании →</v>
      </c>
      <c r="B13" s="53"/>
      <c r="C13" s="53"/>
      <c r="D13" s="53"/>
      <c r="E13" s="32" t="str">
        <v>Выберите компанию в жёлтом поле. Факты, контакт, риски и источники обновятся автоматически.</v>
      </c>
      <c r="F13" s="32"/>
      <c r="G13" s="32"/>
      <c r="H13" s="32"/>
    </row>
    <row r="14" ht="30" customHeight="1">
      <c r="A14" s="53"/>
      <c r="B14" s="53"/>
      <c r="C14" s="53"/>
      <c r="D14" s="53"/>
      <c r="E14" s="32"/>
      <c r="F14" s="32"/>
      <c r="G14" s="32"/>
      <c r="H14" s="32"/>
    </row>
    <row r="15" ht="23" customHeight="1">
      <c r="A15" s="28"/>
      <c r="B15" s="28"/>
      <c r="C15" s="28"/>
      <c r="D15" s="28"/>
      <c r="E15" s="28"/>
      <c r="F15" s="28"/>
      <c r="G15" s="28"/>
      <c r="H15" s="28"/>
    </row>
    <row r="16" ht="30" customHeight="1">
      <c r="A16" s="53" t="str">
        <v>03   Примеры обращений →</v>
      </c>
      <c r="B16" s="53"/>
      <c r="C16" s="53"/>
      <c r="D16" s="53"/>
      <c r="E16" s="32" t="str">
        <v>Первое сообщение, follow-up, квалификация и передача встречи. Всё помечено как черновики.</v>
      </c>
      <c r="F16" s="32"/>
      <c r="G16" s="32"/>
      <c r="H16" s="32"/>
    </row>
    <row r="17" ht="30" customHeight="1">
      <c r="A17" s="53"/>
      <c r="B17" s="53"/>
      <c r="C17" s="53"/>
      <c r="D17" s="53"/>
      <c r="E17" s="32"/>
      <c r="F17" s="32"/>
      <c r="G17" s="32"/>
      <c r="H17" s="32"/>
    </row>
    <row r="18" ht="23" customHeight="1">
      <c r="A18" s="28"/>
      <c r="B18" s="28"/>
      <c r="C18" s="28"/>
      <c r="D18" s="28"/>
      <c r="E18" s="28"/>
      <c r="F18" s="28"/>
      <c r="G18" s="28"/>
      <c r="H18" s="28"/>
    </row>
    <row r="19" ht="21" customHeight="1">
      <c r="A19" s="35" t="str">
        <v>КАК ЧИТАТЬ ОЦЕНКУ</v>
      </c>
      <c r="B19" s="35"/>
      <c r="C19" s="35"/>
      <c r="D19" s="35"/>
      <c r="E19" s="35"/>
      <c r="F19" s="35"/>
      <c r="G19" s="35"/>
      <c r="H19" s="35"/>
    </row>
    <row r="20" ht="23" customHeight="1">
      <c r="A20" s="54" t="str">
        <v>A: 80–100 · изучить первым     B: 60–79 · уточнить     C: ниже 60 · обогатить
Оценка показывает приоритет исследования, а не готовность компании покупать.</v>
      </c>
      <c r="B20" s="54"/>
      <c r="C20" s="54"/>
      <c r="D20" s="54"/>
      <c r="E20" s="54"/>
      <c r="F20" s="54"/>
      <c r="G20" s="54"/>
      <c r="H20" s="54"/>
    </row>
    <row r="21" ht="23" customHeight="1">
      <c r="A21" s="54"/>
      <c r="B21" s="54"/>
      <c r="C21" s="54"/>
      <c r="D21" s="54"/>
      <c r="E21" s="54"/>
      <c r="F21" s="54"/>
      <c r="G21" s="54"/>
      <c r="H21" s="54"/>
    </row>
    <row r="22" ht="23" customHeight="1">
      <c r="A22" s="28"/>
      <c r="B22" s="28"/>
      <c r="C22" s="28"/>
      <c r="D22" s="28"/>
      <c r="E22" s="28"/>
      <c r="F22" s="28"/>
      <c r="G22" s="28"/>
      <c r="H22" s="28"/>
    </row>
    <row r="23" ht="30" customHeight="1">
      <c r="A23" s="53" t="str">
        <v>Правила оценки и методика →</v>
      </c>
      <c r="B23" s="53"/>
      <c r="C23" s="53"/>
      <c r="D23" s="53"/>
      <c r="E23" s="53" t="str">
        <v>Полные исходные данные →</v>
      </c>
      <c r="F23" s="53"/>
      <c r="G23" s="53"/>
      <c r="H23" s="53"/>
    </row>
    <row r="24" ht="23" customHeight="1">
      <c r="A24" s="28"/>
      <c r="B24" s="28"/>
      <c r="C24" s="28"/>
      <c r="D24" s="28"/>
      <c r="E24" s="28"/>
      <c r="F24" s="28"/>
      <c r="G24" s="28"/>
      <c r="H24" s="28"/>
    </row>
    <row r="25" ht="21" customHeight="1">
      <c r="A25" s="35" t="str">
        <v>ГРАНИЦЫ ЭТОГО ПРИМЕРА</v>
      </c>
      <c r="B25" s="35"/>
      <c r="C25" s="35"/>
      <c r="D25" s="35"/>
      <c r="E25" s="35"/>
      <c r="F25" s="35"/>
      <c r="G25" s="35"/>
      <c r="H25" s="35"/>
    </row>
    <row r="26" ht="23" customHeight="1">
      <c r="A26" s="56" t="str">
        <v>Исследование подготовлено для портфолио с помощью ИИ; не является прошлым клиентским заказом. Обращения не отправлялись. Email не проверялись на доставляемость, телефоны не прозванивались. Часть KZ-источников доступна только в официальном поисковом индексе.</v>
      </c>
      <c r="B26" s="56"/>
      <c r="C26" s="56"/>
      <c r="D26" s="56"/>
      <c r="E26" s="56"/>
      <c r="F26" s="56"/>
      <c r="G26" s="56"/>
      <c r="H26" s="56"/>
    </row>
    <row r="27" ht="23" customHeight="1">
      <c r="A27" s="56"/>
      <c r="B27" s="56"/>
      <c r="C27" s="56"/>
      <c r="D27" s="56"/>
      <c r="E27" s="56"/>
      <c r="F27" s="56"/>
      <c r="G27" s="56"/>
      <c r="H27" s="56"/>
    </row>
    <row r="28" ht="23" customHeight="1">
      <c r="A28" s="56"/>
      <c r="B28" s="56"/>
      <c r="C28" s="56"/>
      <c r="D28" s="56"/>
      <c r="E28" s="56"/>
      <c r="F28" s="56"/>
      <c r="G28" s="56"/>
      <c r="H28" s="56"/>
    </row>
    <row r="29" ht="23" customHeight="1">
      <c r="A29" s="28"/>
      <c r="B29" s="28"/>
      <c r="C29" s="28"/>
      <c r="D29" s="28"/>
      <c r="E29" s="28"/>
      <c r="F29" s="28"/>
      <c r="G29" s="28"/>
      <c r="H29" s="28"/>
    </row>
    <row r="30" ht="21" customHeight="1">
      <c r="A30" s="35" t="str">
        <v>Дата доступа к источникам</v>
      </c>
      <c r="B30" s="35"/>
      <c r="C30" s="35"/>
      <c r="D30" s="35"/>
      <c r="E30" s="58" t="d">
        <v>2026-10-13T12:00:00.000Z</v>
      </c>
      <c r="F30" s="57"/>
      <c r="G30" s="57"/>
      <c r="H30" s="57"/>
    </row>
    <row r="31" ht="23" customHeight="1">
      <c r="A31" s="28"/>
      <c r="B31" s="28"/>
      <c r="C31" s="28"/>
      <c r="D31" s="28"/>
      <c r="E31" s="28"/>
      <c r="F31" s="28"/>
      <c r="G31" s="28"/>
      <c r="H31" s="28"/>
    </row>
    <row r="32" ht="23" customHeight="1">
      <c r="A32" s="28"/>
      <c r="B32" s="28"/>
      <c r="C32" s="28"/>
      <c r="D32" s="28"/>
      <c r="E32" s="28"/>
      <c r="F32" s="28"/>
      <c r="G32" s="28"/>
      <c r="H32" s="28"/>
    </row>
    <row r="33" ht="23" customHeight="1">
      <c r="A33" s="28"/>
      <c r="B33" s="28"/>
      <c r="C33" s="28"/>
      <c r="D33" s="28"/>
      <c r="E33" s="28"/>
      <c r="F33" s="28"/>
      <c r="G33" s="28"/>
      <c r="H33" s="28"/>
    </row>
    <row r="34" ht="23" customHeight="1">
      <c r="A34" s="28"/>
      <c r="B34" s="28"/>
      <c r="C34" s="28"/>
      <c r="D34" s="28"/>
      <c r="E34" s="28"/>
      <c r="F34" s="28"/>
      <c r="G34" s="28"/>
      <c r="H34" s="28"/>
    </row>
    <row r="35" ht="23" customHeight="1">
      <c r="A35" s="28"/>
      <c r="B35" s="28"/>
      <c r="C35" s="28"/>
      <c r="D35" s="28"/>
      <c r="E35" s="28"/>
      <c r="F35" s="28"/>
      <c r="G35" s="28"/>
      <c r="H35" s="28"/>
    </row>
  </sheetData>
  <mergeCells>
    <mergeCell ref="A2:H2"/>
    <mergeCell ref="A3:H3"/>
    <mergeCell ref="A5:B5"/>
    <mergeCell ref="A6:B7"/>
    <mergeCell ref="C5:D5"/>
    <mergeCell ref="C6:D7"/>
    <mergeCell ref="E5:F5"/>
    <mergeCell ref="E6:F7"/>
    <mergeCell ref="G5:H5"/>
    <mergeCell ref="G6:H7"/>
    <mergeCell ref="A9:H9"/>
    <mergeCell ref="A10:D11"/>
    <mergeCell ref="E10:H11"/>
    <mergeCell ref="A13:D14"/>
    <mergeCell ref="E13:H14"/>
    <mergeCell ref="A16:D17"/>
    <mergeCell ref="E16:H17"/>
    <mergeCell ref="A19:H19"/>
    <mergeCell ref="A20:H21"/>
    <mergeCell ref="A23:D23"/>
    <mergeCell ref="E23:H23"/>
    <mergeCell ref="A25:H25"/>
    <mergeCell ref="A26:H28"/>
    <mergeCell ref="A30:D30"/>
    <mergeCell ref="E30:H30"/>
  </mergeCells>
  <hyperlinks>
    <hyperlink ref="A10" location="'Список'!A1" display="01   Список компаний →"/>
    <hyperlink ref="A13" location="'Карточка'!A1" display="02   Карточка компании →"/>
    <hyperlink ref="A16" location="'Обращения'!A1" display="03   Примеры обращений →"/>
    <hyperlink ref="A23" location="'Методика'!A1" display="Правила оценки и методика →"/>
    <hyperlink ref="E23" location="'Компании'!A1" display="Полные исходные данные →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78E56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10" hidden="0" customWidth="1"/>
    <col min="2" max="2" width="24" hidden="0" customWidth="1"/>
    <col min="3" max="3" width="22" hidden="0" customWidth="1"/>
    <col min="4" max="4" width="10" hidden="0" customWidth="1"/>
    <col min="5" max="5" width="22" hidden="0" customWidth="1"/>
    <col min="6" max="6" width="24" hidden="0" customWidth="1"/>
    <col min="7" max="7" width="30" hidden="0" customWidth="1"/>
    <col min="8" max="8" width="17" hidden="0" customWidth="1"/>
  </cols>
  <sheetData>
    <row r="1" ht="12" customHeight="1">
      <c r="A1" s="28"/>
      <c r="B1" s="28"/>
      <c r="C1" s="28"/>
      <c r="D1" s="28"/>
      <c r="E1" s="28"/>
      <c r="F1" s="28"/>
      <c r="G1" s="28"/>
      <c r="H1" s="28"/>
    </row>
    <row r="2" ht="35" customHeight="1">
      <c r="A2" s="33" t="str">
        <v>Список компаний</v>
      </c>
      <c r="B2" s="33"/>
      <c r="C2" s="33"/>
      <c r="D2" s="33"/>
      <c r="E2" s="33"/>
      <c r="F2" s="33"/>
      <c r="G2" s="33"/>
      <c r="H2" s="33"/>
    </row>
    <row r="3" ht="30" customHeight="1">
      <c r="A3" s="32" t="str">
        <v>1. Отфильтруйте список    2. Сравните оценку    3. Откройте лист «Карточка»</v>
      </c>
      <c r="B3" s="32"/>
      <c r="C3" s="32"/>
      <c r="D3" s="32"/>
      <c r="E3" s="32"/>
      <c r="F3" s="32"/>
      <c r="G3" s="32"/>
      <c r="H3" s="32"/>
    </row>
    <row r="4" ht="23" customHeight="1">
      <c r="A4" s="28"/>
      <c r="B4" s="28"/>
      <c r="C4" s="28"/>
      <c r="D4" s="28"/>
      <c r="E4" s="28"/>
      <c r="F4" s="28"/>
      <c r="G4" s="28"/>
      <c r="H4" s="28"/>
    </row>
    <row r="5" ht="36" customHeight="1">
      <c r="A5" s="62" t="str">
        <v>ID</v>
      </c>
      <c r="B5" s="62" t="str">
        <v>Компания</v>
      </c>
      <c r="C5" s="62" t="str">
        <v>Сегмент</v>
      </c>
      <c r="D5" s="62" t="str">
        <v>Оценка /100</v>
      </c>
      <c r="E5" s="62" t="str">
        <v>Приоритет</v>
      </c>
      <c r="F5" s="62" t="str">
        <v>Контактный маршрут</v>
      </c>
      <c r="G5" s="62" t="str">
        <v>Что уточнить</v>
      </c>
      <c r="H5" s="62" t="str">
        <v>Статус</v>
      </c>
    </row>
    <row r="6" ht="53" customHeight="1">
      <c r="A6" s="63" t="str">
        <f>'Компании'!A2</f>
        <v>KZ-01</v>
      </c>
      <c r="B6" s="63" t="str">
        <f>'Компании'!B2</f>
        <v>Documentolog</v>
      </c>
      <c r="C6" s="63" t="str">
        <f>'Компании'!D2</f>
        <v>Document workflow</v>
      </c>
      <c r="D6" s="69" t="n">
        <f>'Компании'!N2</f>
        <v>86</v>
      </c>
      <c r="E6" s="63" t="str">
        <f>'Компании'!O2</f>
        <v>A — изучить первым</v>
      </c>
      <c r="F6" s="63" t="str">
        <f>'Компании'!I2</f>
        <v>Форма / общий деловой контакт</v>
      </c>
      <c r="G6" s="63" t="str">
        <f>'Компании'!R2</f>
        <v>Спрос на внешний поиск лидов не подтверждён.</v>
      </c>
      <c r="H6" s="63" t="str">
        <f>'Компании'!V2</f>
        <v>Не контактировали</v>
      </c>
    </row>
    <row r="7" ht="53" customHeight="1">
      <c r="A7" s="64" t="str">
        <f>'Компании'!A3</f>
        <v>KZ-02</v>
      </c>
      <c r="B7" s="64" t="str">
        <f>'Компании'!B3</f>
        <v>BTS Digital</v>
      </c>
      <c r="C7" s="64" t="str">
        <f>'Компании'!D3</f>
        <v>Digital platforms</v>
      </c>
      <c r="D7" s="70" t="n">
        <f>'Компании'!N3</f>
        <v>86</v>
      </c>
      <c r="E7" s="64" t="str">
        <f>'Компании'!O3</f>
        <v>A — изучить первым</v>
      </c>
      <c r="F7" s="64" t="str">
        <f>'Компании'!I3</f>
        <v>Sales / сотрудничество</v>
      </c>
      <c r="G7" s="64" t="str">
        <f>'Компании'!R3</f>
        <v>За B2B может отвечать дистрибьютор Smart Cities; уточнить зону ответственности.</v>
      </c>
      <c r="H7" s="64" t="str">
        <f>'Компании'!V3</f>
        <v>Не контактировали</v>
      </c>
    </row>
    <row r="8" ht="53" customHeight="1">
      <c r="A8" s="63" t="str">
        <f>'Компании'!A4</f>
        <v>KZ-03</v>
      </c>
      <c r="B8" s="63" t="str">
        <f>'Компании'!B4</f>
        <v>Wooppay</v>
      </c>
      <c r="C8" s="63" t="str">
        <f>'Компании'!D4</f>
        <v>Payments</v>
      </c>
      <c r="D8" s="69" t="n">
        <f>'Компании'!N4</f>
        <v>66</v>
      </c>
      <c r="E8" s="63" t="str">
        <f>'Компании'!O4</f>
        <v>B — уточнить</v>
      </c>
      <c r="F8" s="63" t="str">
        <f>'Компании'!I4</f>
        <v>Поддержка / служебный маршрут</v>
      </c>
      <c r="G8" s="63" t="str">
        <f>'Компании'!R4</f>
        <v>Поддержка физических лиц не является контактом покупателя.</v>
      </c>
      <c r="H8" s="63" t="str">
        <f>'Компании'!V4</f>
        <v>Не контактировали</v>
      </c>
    </row>
    <row r="9" ht="53" customHeight="1">
      <c r="A9" s="64" t="str">
        <f>'Компании'!A5</f>
        <v>KZ-04</v>
      </c>
      <c r="B9" s="64" t="str">
        <f>'Компании'!B5</f>
        <v>CEREBRA / Almaty A.I. Lab</v>
      </c>
      <c r="C9" s="64" t="str">
        <f>'Компании'!D5</f>
        <v>Health technology</v>
      </c>
      <c r="D9" s="70" t="n">
        <f>'Компании'!N5</f>
        <v>46</v>
      </c>
      <c r="E9" s="64" t="str">
        <f>'Компании'!O5</f>
        <v>C — обогатить</v>
      </c>
      <c r="F9" s="64" t="str">
        <f>'Компании'!I5</f>
        <v>Не установлен</v>
      </c>
      <c r="G9" s="64" t="str">
        <f>'Компании'!R5</f>
        <v>Специализированные закупки; клинические утверждения требуют экспертной проверки.</v>
      </c>
      <c r="H9" s="64" t="str">
        <f>'Компании'!V5</f>
        <v>Не контактировали</v>
      </c>
    </row>
    <row r="10" ht="53" customHeight="1">
      <c r="A10" s="63" t="str">
        <f>'Компании'!A6</f>
        <v>KZ-05</v>
      </c>
      <c r="B10" s="63" t="str">
        <f>'Компании'!B6</f>
        <v>iD Host / Kazakhtelecom</v>
      </c>
      <c r="C10" s="63" t="str">
        <f>'Компании'!D6</f>
        <v>Hosting</v>
      </c>
      <c r="D10" s="69" t="n">
        <f>'Компании'!N6</f>
        <v>70</v>
      </c>
      <c r="E10" s="63" t="str">
        <f>'Компании'!O6</f>
        <v>B — уточнить</v>
      </c>
      <c r="F10" s="63" t="str">
        <f>'Компании'!I6</f>
        <v>Общий / партнёрская ссылка</v>
      </c>
      <c r="G10" s="63" t="str">
        <f>'Компании'!R6</f>
        <v>Учёт на уровне бренда; не считать материнскую компанию отдельным лидом.</v>
      </c>
      <c r="H10" s="63" t="str">
        <f>'Компании'!V6</f>
        <v>Не контактировали</v>
      </c>
    </row>
    <row r="11" ht="53" customHeight="1">
      <c r="A11" s="64" t="str">
        <f>'Компании'!A7</f>
        <v>KZ-06</v>
      </c>
      <c r="B11" s="64" t="str">
        <f>'Компании'!B7</f>
        <v>Beeline Kazakhstan</v>
      </c>
      <c r="C11" s="64" t="str">
        <f>'Компании'!D7</f>
        <v>Telecom</v>
      </c>
      <c r="D11" s="70" t="n">
        <f>'Компании'!N7</f>
        <v>64</v>
      </c>
      <c r="E11" s="64" t="str">
        <f>'Компании'!O7</f>
        <v>B — уточнить</v>
      </c>
      <c r="F11" s="64" t="str">
        <f>'Компании'!I7</f>
        <v>Общий / партнёрская ссылка</v>
      </c>
      <c r="G11" s="64" t="str">
        <f>'Компании'!R7</f>
        <v>Крупный аккаунт; текущий процесс поиска и правила для подрядчиков неизвестны.</v>
      </c>
      <c r="H11" s="64" t="str">
        <f>'Компании'!V7</f>
        <v>Не контактировали</v>
      </c>
    </row>
    <row r="12" ht="53" customHeight="1">
      <c r="A12" s="63" t="str">
        <f>'Компании'!A8</f>
        <v>KZ-07</v>
      </c>
      <c r="B12" s="63" t="str">
        <f>'Компании'!B8</f>
        <v>OneVision</v>
      </c>
      <c r="C12" s="63" t="str">
        <f>'Компании'!D8</f>
        <v>Payments</v>
      </c>
      <c r="D12" s="69" t="n">
        <f>'Компании'!N8</f>
        <v>90</v>
      </c>
      <c r="E12" s="63" t="str">
        <f>'Компании'!O8</f>
        <v>A — изучить первым</v>
      </c>
      <c r="F12" s="63" t="str">
        <f>'Компании'!I8</f>
        <v>Sales / сотрудничество</v>
      </c>
      <c r="G12" s="63" t="str">
        <f>'Компании'!R8</f>
        <v>Sales принимает клиентские заявки; интерес к подрядчику ещё нужно выяснить.</v>
      </c>
      <c r="H12" s="63" t="str">
        <f>'Компании'!V8</f>
        <v>Не контактировали</v>
      </c>
    </row>
    <row r="13" ht="53" customHeight="1">
      <c r="A13" s="64" t="str">
        <f>'Компании'!A9</f>
        <v>KZ-08</v>
      </c>
      <c r="B13" s="64" t="str">
        <f>'Компании'!B9</f>
        <v>Relog</v>
      </c>
      <c r="C13" s="64" t="str">
        <f>'Компании'!D9</f>
        <v>Logistics SaaS</v>
      </c>
      <c r="D13" s="70" t="n">
        <f>'Компании'!N9</f>
        <v>92</v>
      </c>
      <c r="E13" s="64" t="str">
        <f>'Компании'!O9</f>
        <v>A — изучить первым</v>
      </c>
      <c r="F13" s="64" t="str">
        <f>'Компании'!I9</f>
        <v>Форма / общий деловой контакт</v>
      </c>
      <c r="G13" s="64" t="str">
        <f>'Компании'!R9</f>
        <v>Размер автопарка и объём доставки нужно изучать отдельно.</v>
      </c>
      <c r="H13" s="64" t="str">
        <f>'Компании'!V9</f>
        <v>Не контактировали</v>
      </c>
    </row>
    <row r="14" ht="53" customHeight="1">
      <c r="A14" s="63" t="str">
        <f>'Компании'!A10</f>
        <v>KZ-09</v>
      </c>
      <c r="B14" s="63" t="str">
        <f>'Компании'!B10</f>
        <v>Citix</v>
      </c>
      <c r="C14" s="63" t="str">
        <f>'Компании'!D10</f>
        <v>Outdoor advertising</v>
      </c>
      <c r="D14" s="69" t="n">
        <f>'Компании'!N10</f>
        <v>80</v>
      </c>
      <c r="E14" s="63" t="str">
        <f>'Компании'!O10</f>
        <v>A — изучить первым</v>
      </c>
      <c r="F14" s="63" t="str">
        <f>'Компании'!I10</f>
        <v>Форма / общий деловой контакт</v>
      </c>
      <c r="G14" s="63" t="str">
        <f>'Компании'!R10</f>
        <v>Сайт на доработке; рекламный бюджет компаний не установлен.</v>
      </c>
      <c r="H14" s="63" t="str">
        <f>'Компании'!V10</f>
        <v>Не контактировали</v>
      </c>
    </row>
    <row r="15" ht="53" customHeight="1">
      <c r="A15" s="64" t="str">
        <f>'Компании'!A11</f>
        <v>KZ-10</v>
      </c>
      <c r="B15" s="64" t="str">
        <f>'Компании'!B11</f>
        <v>Kazteleport</v>
      </c>
      <c r="C15" s="64" t="str">
        <f>'Компании'!D11</f>
        <v>Cloud and IT</v>
      </c>
      <c r="D15" s="70" t="n">
        <f>'Компании'!N11</f>
        <v>80</v>
      </c>
      <c r="E15" s="64" t="str">
        <f>'Компании'!O11</f>
        <v>A — изучить первым</v>
      </c>
      <c r="F15" s="64" t="str">
        <f>'Компании'!I11</f>
        <v>Sales / сотрудничество</v>
      </c>
      <c r="G15" s="64" t="str">
        <f>'Компании'!R11</f>
        <v>Корпоративные закупки и действующие поставщики могут усложнить вход.</v>
      </c>
      <c r="H15" s="64" t="str">
        <f>'Компании'!V11</f>
        <v>Не контактировали</v>
      </c>
    </row>
    <row r="16" ht="53" customHeight="1">
      <c r="A16" s="63" t="str">
        <f>'Компании'!A12</f>
        <v>KZ-11</v>
      </c>
      <c r="B16" s="63" t="str">
        <f>'Компании'!B12</f>
        <v>PS Cloud Services</v>
      </c>
      <c r="C16" s="63" t="str">
        <f>'Компании'!D12</f>
        <v>Cloud and hosting</v>
      </c>
      <c r="D16" s="69" t="n">
        <f>'Компании'!N12</f>
        <v>58</v>
      </c>
      <c r="E16" s="63" t="str">
        <f>'Компании'!O12</f>
        <v>C — обогатить</v>
      </c>
      <c r="F16" s="63" t="str">
        <f>'Компании'!I12</f>
        <v>Поддержка / служебный маршрут</v>
      </c>
      <c r="G16" s="63" t="str">
        <f>'Компании'!R12</f>
        <v>Главную прочитать не удалось; старые контакты продаж исключены.</v>
      </c>
      <c r="H16" s="63" t="str">
        <f>'Компании'!V12</f>
        <v>Не контактировали</v>
      </c>
    </row>
    <row r="17" ht="53" customHeight="1">
      <c r="A17" s="64" t="str">
        <f>'Компании'!A13</f>
        <v>KZ-12</v>
      </c>
      <c r="B17" s="64" t="str">
        <f>'Компании'!B13</f>
        <v>Hoster.KZ</v>
      </c>
      <c r="C17" s="64" t="str">
        <f>'Компании'!D13</f>
        <v>Hosting</v>
      </c>
      <c r="D17" s="70" t="n">
        <f>'Компании'!N13</f>
        <v>48</v>
      </c>
      <c r="E17" s="64" t="str">
        <f>'Компании'!O13</f>
        <v>C — обогатить</v>
      </c>
      <c r="F17" s="64" t="str">
        <f>'Компании'!I13</f>
        <v>Поддержка / служебный маршрут</v>
      </c>
      <c r="G17" s="64" t="str">
        <f>'Компании'!R13</f>
        <v>Индекс источника старый; перепроверить контакты до использования.</v>
      </c>
      <c r="H17" s="64" t="str">
        <f>'Компании'!V13</f>
        <v>Не контактировали</v>
      </c>
    </row>
    <row r="18" ht="53" customHeight="1">
      <c r="A18" s="63" t="str">
        <f>'Компании'!A14</f>
        <v>KZ-13</v>
      </c>
      <c r="B18" s="63" t="str">
        <f>'Компании'!B14</f>
        <v>Clockster</v>
      </c>
      <c r="C18" s="63" t="str">
        <f>'Компании'!D14</f>
        <v>Workforce SaaS</v>
      </c>
      <c r="D18" s="69" t="n">
        <f>'Компании'!N14</f>
        <v>78</v>
      </c>
      <c r="E18" s="63" t="str">
        <f>'Компании'!O14</f>
        <v>B — уточнить</v>
      </c>
      <c r="F18" s="63" t="str">
        <f>'Компании'!I14</f>
        <v>Форма / общий деловой контакт</v>
      </c>
      <c r="G18" s="63" t="str">
        <f>'Компании'!R14</f>
        <v>Численность и география работы sales не установлены.</v>
      </c>
      <c r="H18" s="63" t="str">
        <f>'Компании'!V14</f>
        <v>Не контактировали</v>
      </c>
    </row>
    <row r="19" ht="53" customHeight="1">
      <c r="A19" s="64" t="str">
        <f>'Компании'!A15</f>
        <v>KZ-14</v>
      </c>
      <c r="B19" s="64" t="str">
        <f>'Компании'!B15</f>
        <v>Tarlan Payments</v>
      </c>
      <c r="C19" s="64" t="str">
        <f>'Компании'!D15</f>
        <v>Payments</v>
      </c>
      <c r="D19" s="70" t="n">
        <f>'Компании'!N15</f>
        <v>78</v>
      </c>
      <c r="E19" s="64" t="str">
        <f>'Компании'!O15</f>
        <v>B — уточнить</v>
      </c>
      <c r="F19" s="64" t="str">
        <f>'Компании'!I15</f>
        <v>Sales / сотрудничество</v>
      </c>
      <c r="G19" s="64" t="str">
        <f>'Компании'!R15</f>
        <v>В индексе страницы есть непереведённые подписи; нужна живая перепроверка.</v>
      </c>
      <c r="H19" s="64" t="str">
        <f>'Компании'!V15</f>
        <v>Не контактировали</v>
      </c>
    </row>
    <row r="20" ht="53" customHeight="1">
      <c r="A20" s="63" t="str">
        <f>'Компании'!A16</f>
        <v>KZ-15</v>
      </c>
      <c r="B20" s="63" t="str">
        <f>'Компании'!B16</f>
        <v>Hosti.kz</v>
      </c>
      <c r="C20" s="63" t="str">
        <f>'Компании'!D16</f>
        <v>IT services</v>
      </c>
      <c r="D20" s="69" t="n">
        <f>'Компании'!N16</f>
        <v>90</v>
      </c>
      <c r="E20" s="63" t="str">
        <f>'Компании'!O16</f>
        <v>A — изучить первым</v>
      </c>
      <c r="F20" s="63" t="str">
        <f>'Компании'!I16</f>
        <v>Sales / сотрудничество</v>
      </c>
      <c r="G20" s="63" t="str">
        <f>'Компании'!R16</f>
        <v>Потребность в сайте не доказывает наличие бюджета.</v>
      </c>
      <c r="H20" s="63" t="str">
        <f>'Компании'!V16</f>
        <v>Не контактировали</v>
      </c>
    </row>
    <row r="21" ht="23" customHeight="1">
      <c r="A21" s="28"/>
      <c r="B21" s="28"/>
      <c r="C21" s="28"/>
      <c r="D21" s="28"/>
      <c r="E21" s="28"/>
      <c r="F21" s="28"/>
      <c r="G21" s="28"/>
      <c r="H21" s="28"/>
    </row>
    <row r="22" ht="30" customHeight="1">
      <c r="A22" s="53" t="str">
        <v>Открыть карточку компании →</v>
      </c>
      <c r="B22" s="53"/>
      <c r="C22" s="53"/>
      <c r="D22" s="28"/>
      <c r="E22" s="53" t="str">
        <v>Вернуться к обзору →</v>
      </c>
      <c r="F22" s="53"/>
      <c r="G22" s="53"/>
      <c r="H22" s="53"/>
    </row>
    <row r="23" ht="23" customHeight="1">
      <c r="A23" s="28"/>
      <c r="B23" s="28"/>
      <c r="C23" s="28"/>
      <c r="D23" s="28"/>
      <c r="E23" s="28"/>
      <c r="F23" s="28"/>
      <c r="G23" s="28"/>
      <c r="H23" s="28"/>
    </row>
    <row r="24" ht="23" customHeight="1">
      <c r="A24" s="32" t="str">
        <v>Этот список связан с полными данными. Для изменения статуса или оценки откройте лист «Компании».</v>
      </c>
      <c r="B24" s="32"/>
      <c r="C24" s="32"/>
      <c r="D24" s="32"/>
      <c r="E24" s="32"/>
      <c r="F24" s="32"/>
      <c r="G24" s="32"/>
      <c r="H24" s="32"/>
    </row>
  </sheetData>
  <mergeCells>
    <mergeCell ref="A2:H2"/>
    <mergeCell ref="A3:H3"/>
    <mergeCell ref="A22:C22"/>
    <mergeCell ref="E22:H22"/>
    <mergeCell ref="A24:H24"/>
  </mergeCells>
  <conditionalFormatting sqref="D6:D20">
    <cfRule type="colorScale" priority="1">
      <colorScale>
        <cfvo type="num" val="0"/>
        <cfvo type="num" val="60"/>
        <cfvo type="num" val="100"/>
        <color rgb="FFF6E4DC"/>
        <color rgb="FFFFF0C7"/>
        <color rgb="FFDCEACF"/>
      </colorScale>
    </cfRule>
  </conditionalFormatting>
  <conditionalFormatting sqref="E6:E20">
    <cfRule type="beginsWith" dxfId="0" priority="2" operator="beginsWith" text="A"/>
    <cfRule type="beginsWith" dxfId="1" priority="3" operator="beginsWith" text="B"/>
    <cfRule type="beginsWith" dxfId="2" priority="4" operator="beginsWith" text="C"/>
  </conditionalFormatting>
  <hyperlinks>
    <hyperlink ref="A22" location="'Карточка'!A1" display="Открыть карточку компании →"/>
    <hyperlink ref="E22" location="'Обзор'!A1" display="Вернуться к обзору →"/>
  </hyperlinks>
  <pageMargins left="0.7" right="0.7" top="0.75" bottom="0.75" header="0.3" footer="0.3"/>
  <tableParts count="1">
    <tablePart r:id="R635de83453384651"/>
  </tableParts>
</worksheet>
</file>

<file path=xl/worksheets/sheet3.xml><?xml version="1.0" encoding="utf-8"?>
<worksheet xmlns="http://schemas.openxmlformats.org/spreadsheetml/2006/main">
  <sheetPr>
    <tabColor rgb="FFA3BC87"/>
  </sheetPr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28"/>
      <c r="B1" s="28"/>
      <c r="C1" s="28"/>
      <c r="D1" s="28"/>
      <c r="E1" s="28"/>
      <c r="F1" s="28"/>
      <c r="G1" s="28"/>
      <c r="H1" s="28"/>
    </row>
    <row r="2" ht="35" customHeight="1">
      <c r="A2" s="33" t="str">
        <v>Карточка компании</v>
      </c>
      <c r="B2" s="33"/>
      <c r="C2" s="33"/>
      <c r="D2" s="33"/>
      <c r="E2" s="33"/>
      <c r="F2" s="33"/>
      <c r="G2" s="33"/>
      <c r="H2" s="33"/>
    </row>
    <row r="3" ht="30" customHeight="1">
      <c r="A3" s="32" t="str">
        <v>Выберите компанию в жёлтом поле — подробности ниже обновятся.</v>
      </c>
      <c r="B3" s="32"/>
      <c r="C3" s="32"/>
      <c r="D3" s="32"/>
      <c r="E3" s="32"/>
      <c r="F3" s="32"/>
      <c r="G3" s="32"/>
      <c r="H3" s="32"/>
    </row>
    <row r="4" ht="23" customHeight="1">
      <c r="A4" s="28"/>
      <c r="B4" s="28"/>
      <c r="C4" s="28"/>
      <c r="D4" s="28"/>
      <c r="E4" s="28"/>
      <c r="F4" s="28"/>
      <c r="G4" s="28"/>
      <c r="H4" s="28"/>
    </row>
    <row r="5" ht="34" customHeight="1">
      <c r="A5" s="35" t="str">
        <v>Компания</v>
      </c>
      <c r="B5" s="72" t="str">
        <v>Relog</v>
      </c>
      <c r="C5" s="72"/>
      <c r="D5" s="72"/>
      <c r="E5" s="72"/>
      <c r="F5" s="72"/>
      <c r="G5" s="72"/>
      <c r="H5" s="72"/>
    </row>
    <row r="6" ht="23" customHeight="1">
      <c r="A6" s="28"/>
      <c r="B6" s="28"/>
      <c r="C6" s="28"/>
      <c r="D6" s="28"/>
      <c r="E6" s="28"/>
      <c r="F6" s="28"/>
      <c r="G6" s="28"/>
      <c r="H6" s="28"/>
    </row>
    <row r="7" ht="21" customHeight="1">
      <c r="A7" s="35" t="str">
        <v>ОЦЕНКА /100</v>
      </c>
      <c r="B7" s="35"/>
      <c r="C7" s="35" t="str">
        <v>ПРИОРИТЕТ ИССЛЕДОВАНИЯ</v>
      </c>
      <c r="D7" s="35"/>
      <c r="E7" s="35"/>
      <c r="F7" s="35"/>
      <c r="G7" s="35"/>
      <c r="H7" s="35"/>
    </row>
    <row r="8" ht="23" customHeight="1">
      <c r="A8" s="43" t="n">
        <f>INDEX('Компании'!$N$2:$N$16,MATCH($B$5,'Компании'!$B$2:$B$16,0))</f>
        <v>92</v>
      </c>
      <c r="B8" s="43"/>
      <c r="C8" s="74" t="str">
        <f>INDEX('Компании'!$O$2:$O$16,MATCH($B$5,'Компании'!$B$2:$B$16,0))</f>
        <v>A — изучить первым</v>
      </c>
      <c r="D8" s="74"/>
      <c r="E8" s="74"/>
      <c r="F8" s="74"/>
      <c r="G8" s="74"/>
      <c r="H8" s="74"/>
    </row>
    <row r="9" ht="23" customHeight="1">
      <c r="A9" s="43"/>
      <c r="B9" s="43"/>
      <c r="C9" s="74"/>
      <c r="D9" s="74"/>
      <c r="E9" s="74"/>
      <c r="F9" s="74"/>
      <c r="G9" s="74"/>
      <c r="H9" s="74"/>
    </row>
    <row r="10" ht="23" customHeight="1">
      <c r="A10" s="28"/>
      <c r="B10" s="28"/>
      <c r="C10" s="28"/>
      <c r="D10" s="28"/>
      <c r="E10" s="28"/>
      <c r="F10" s="28"/>
      <c r="G10" s="28"/>
      <c r="H10" s="28"/>
    </row>
    <row r="11" ht="21" customHeight="1">
      <c r="A11" s="35" t="str">
        <v>01   ФАКТ ИЗ ИСТОЧНИКА</v>
      </c>
      <c r="B11" s="35"/>
      <c r="C11" s="35"/>
      <c r="D11" s="35"/>
      <c r="E11" s="35"/>
      <c r="F11" s="35"/>
      <c r="G11" s="35"/>
      <c r="H11" s="35"/>
    </row>
    <row r="12" ht="23" customHeight="1">
      <c r="A12" s="54" t="str">
        <f>INDEX('Компании'!$E$2:$E$16,MATCH($B$5,'Компании'!$B$2:$B$16,0))</f>
        <v>TMS для маршрутизации, заказов и аналитики курьеров.</v>
      </c>
      <c r="B12" s="54"/>
      <c r="C12" s="54"/>
      <c r="D12" s="54"/>
      <c r="E12" s="54"/>
      <c r="F12" s="54"/>
      <c r="G12" s="54"/>
      <c r="H12" s="54"/>
    </row>
    <row r="13" ht="23" customHeight="1">
      <c r="A13" s="54"/>
      <c r="B13" s="54"/>
      <c r="C13" s="54"/>
      <c r="D13" s="54"/>
      <c r="E13" s="54"/>
      <c r="F13" s="54"/>
      <c r="G13" s="54"/>
      <c r="H13" s="54"/>
    </row>
    <row r="14" ht="23" customHeight="1">
      <c r="A14" s="54"/>
      <c r="B14" s="54"/>
      <c r="C14" s="54"/>
      <c r="D14" s="54"/>
      <c r="E14" s="54"/>
      <c r="F14" s="54"/>
      <c r="G14" s="54"/>
      <c r="H14" s="54"/>
    </row>
    <row r="15" ht="23" customHeight="1">
      <c r="A15" s="28"/>
      <c r="B15" s="28"/>
      <c r="C15" s="28"/>
      <c r="D15" s="28"/>
      <c r="E15" s="28"/>
      <c r="F15" s="28"/>
      <c r="G15" s="28"/>
      <c r="H15" s="28"/>
    </row>
    <row r="16" ht="21" customHeight="1">
      <c r="A16" s="35" t="str">
        <v>02   ГИПОТЕЗА ПРИМЕНЕНИЯ · СПРОС НЕ ПОДТВЕРЖДЁН</v>
      </c>
      <c r="B16" s="35"/>
      <c r="C16" s="35"/>
      <c r="D16" s="35"/>
      <c r="E16" s="35"/>
      <c r="F16" s="35"/>
      <c r="G16" s="35"/>
      <c r="H16" s="35"/>
    </row>
    <row r="17" ht="23" customHeight="1">
      <c r="A17" s="57" t="str">
        <f>INDEX('Компании'!$F$2:$F$16,MATCH($B$5,'Компании'!$B$2:$B$16,0))</f>
        <v>Найти ритейлеров и дистрибьюторов с публично описанной локальной доставкой.</v>
      </c>
      <c r="B17" s="57"/>
      <c r="C17" s="57"/>
      <c r="D17" s="57"/>
      <c r="E17" s="57"/>
      <c r="F17" s="57"/>
      <c r="G17" s="57"/>
      <c r="H17" s="57"/>
    </row>
    <row r="18" ht="23" customHeight="1">
      <c r="A18" s="57"/>
      <c r="B18" s="57"/>
      <c r="C18" s="57"/>
      <c r="D18" s="57"/>
      <c r="E18" s="57"/>
      <c r="F18" s="57"/>
      <c r="G18" s="57"/>
      <c r="H18" s="57"/>
    </row>
    <row r="19" ht="23" customHeight="1">
      <c r="A19" s="57"/>
      <c r="B19" s="57"/>
      <c r="C19" s="57"/>
      <c r="D19" s="57"/>
      <c r="E19" s="57"/>
      <c r="F19" s="57"/>
      <c r="G19" s="57"/>
      <c r="H19" s="57"/>
    </row>
    <row r="20" ht="23" customHeight="1">
      <c r="A20" s="28"/>
      <c r="B20" s="28"/>
      <c r="C20" s="28"/>
      <c r="D20" s="28"/>
      <c r="E20" s="28"/>
      <c r="F20" s="28"/>
      <c r="G20" s="28"/>
      <c r="H20" s="28"/>
    </row>
    <row r="21" ht="21" customHeight="1">
      <c r="A21" s="35" t="str">
        <v>ЦЕЛЕВАЯ РОЛЬ · ЧЕЛОВЕК НЕ ПРОВЕРЕН</v>
      </c>
      <c r="B21" s="35"/>
      <c r="C21" s="35"/>
      <c r="D21" s="35"/>
      <c r="E21" s="35" t="str">
        <v>ТИП КОНТАКТА</v>
      </c>
      <c r="F21" s="35"/>
      <c r="G21" s="35"/>
      <c r="H21" s="35"/>
    </row>
    <row r="22" ht="23" customHeight="1">
      <c r="A22" s="54" t="str">
        <f>INDEX('Компании'!$G$2:$G$16,MATCH($B$5,'Компании'!$B$2:$B$16,0))</f>
        <v>Head of sales</v>
      </c>
      <c r="B22" s="54"/>
      <c r="C22" s="54"/>
      <c r="D22" s="54"/>
      <c r="E22" s="54" t="str">
        <f>INDEX('Компании'!$I$2:$I$16,MATCH($B$5,'Компании'!$B$2:$B$16,0))</f>
        <v>Форма / общий деловой контакт</v>
      </c>
      <c r="F22" s="54"/>
      <c r="G22" s="54"/>
      <c r="H22" s="54"/>
    </row>
    <row r="23" ht="23" customHeight="1">
      <c r="A23" s="54"/>
      <c r="B23" s="54"/>
      <c r="C23" s="54"/>
      <c r="D23" s="54"/>
      <c r="E23" s="54"/>
      <c r="F23" s="54"/>
      <c r="G23" s="54"/>
      <c r="H23" s="54"/>
    </row>
    <row r="24" ht="23" customHeight="1">
      <c r="A24" s="54"/>
      <c r="B24" s="54"/>
      <c r="C24" s="54"/>
      <c r="D24" s="54"/>
      <c r="E24" s="54"/>
      <c r="F24" s="54"/>
      <c r="G24" s="54"/>
      <c r="H24" s="54"/>
    </row>
    <row r="25" ht="23" customHeight="1">
      <c r="A25" s="28"/>
      <c r="B25" s="28"/>
      <c r="C25" s="28"/>
      <c r="D25" s="28"/>
      <c r="E25" s="28"/>
      <c r="F25" s="28"/>
      <c r="G25" s="28"/>
      <c r="H25" s="28"/>
    </row>
    <row r="26" ht="21" customHeight="1">
      <c r="A26" s="35" t="str">
        <v>03   ПУБЛИЧНЫЙ КОНТАКТ / МАРШРУТ</v>
      </c>
      <c r="B26" s="35"/>
      <c r="C26" s="35"/>
      <c r="D26" s="35"/>
      <c r="E26" s="35"/>
      <c r="F26" s="35"/>
      <c r="G26" s="35"/>
      <c r="H26" s="35"/>
    </row>
    <row r="27" ht="23" customHeight="1">
      <c r="A27" s="57" t="str">
        <f>INDEX('Компании'!$H$2:$H$16,MATCH($B$5,'Компании'!$B$2:$B$16,0))</f>
        <v>+7 (727) 347 0443; запрос демо на главной</v>
      </c>
      <c r="B27" s="57"/>
      <c r="C27" s="57"/>
      <c r="D27" s="57"/>
      <c r="E27" s="57"/>
      <c r="F27" s="57"/>
      <c r="G27" s="57"/>
      <c r="H27" s="57"/>
    </row>
    <row r="28" ht="23" customHeight="1">
      <c r="A28" s="57"/>
      <c r="B28" s="57"/>
      <c r="C28" s="57"/>
      <c r="D28" s="57"/>
      <c r="E28" s="57"/>
      <c r="F28" s="57"/>
      <c r="G28" s="57"/>
      <c r="H28" s="57"/>
    </row>
    <row r="29" ht="23" customHeight="1">
      <c r="A29" s="57"/>
      <c r="B29" s="57"/>
      <c r="C29" s="57"/>
      <c r="D29" s="57"/>
      <c r="E29" s="57"/>
      <c r="F29" s="57"/>
      <c r="G29" s="57"/>
      <c r="H29" s="57"/>
    </row>
    <row r="30" ht="23" customHeight="1">
      <c r="A30" s="28"/>
      <c r="B30" s="28"/>
      <c r="C30" s="28"/>
      <c r="D30" s="28"/>
      <c r="E30" s="28"/>
      <c r="F30" s="28"/>
      <c r="G30" s="28"/>
      <c r="H30" s="28"/>
    </row>
    <row r="31" ht="21" customHeight="1">
      <c r="A31" s="35" t="str">
        <v>04   ЧТО ОГРАНИЧИВАЕТ ПРИОРИТЕТ</v>
      </c>
      <c r="B31" s="35"/>
      <c r="C31" s="35"/>
      <c r="D31" s="35"/>
      <c r="E31" s="35"/>
      <c r="F31" s="35"/>
      <c r="G31" s="35"/>
      <c r="H31" s="35"/>
    </row>
    <row r="32" ht="23" customHeight="1">
      <c r="A32" s="75" t="str">
        <f>INDEX('Компании'!$R$2:$R$16,MATCH($B$5,'Компании'!$B$2:$B$16,0))</f>
        <v>Размер автопарка и объём доставки нужно изучать отдельно.</v>
      </c>
      <c r="B32" s="75"/>
      <c r="C32" s="75"/>
      <c r="D32" s="75"/>
      <c r="E32" s="75"/>
      <c r="F32" s="75"/>
      <c r="G32" s="75"/>
      <c r="H32" s="75"/>
    </row>
    <row r="33" ht="23" customHeight="1">
      <c r="A33" s="75"/>
      <c r="B33" s="75"/>
      <c r="C33" s="75"/>
      <c r="D33" s="75"/>
      <c r="E33" s="75"/>
      <c r="F33" s="75"/>
      <c r="G33" s="75"/>
      <c r="H33" s="75"/>
    </row>
    <row r="34" ht="23" customHeight="1">
      <c r="A34" s="75"/>
      <c r="B34" s="75"/>
      <c r="C34" s="75"/>
      <c r="D34" s="75"/>
      <c r="E34" s="75"/>
      <c r="F34" s="75"/>
      <c r="G34" s="75"/>
      <c r="H34" s="75"/>
    </row>
    <row r="35" ht="23" customHeight="1">
      <c r="A35" s="28"/>
      <c r="B35" s="28"/>
      <c r="C35" s="28"/>
      <c r="D35" s="28"/>
      <c r="E35" s="28"/>
      <c r="F35" s="28"/>
      <c r="G35" s="28"/>
      <c r="H35" s="28"/>
    </row>
    <row r="36" ht="21" customHeight="1">
      <c r="A36" s="35" t="str">
        <v>05   СЛЕДУЮЩИЙ ШАГ</v>
      </c>
      <c r="B36" s="35"/>
      <c r="C36" s="35"/>
      <c r="D36" s="35"/>
      <c r="E36" s="35"/>
      <c r="F36" s="35"/>
      <c r="G36" s="35"/>
      <c r="H36" s="35"/>
    </row>
    <row r="37" ht="23" customHeight="1">
      <c r="A37" s="76" t="str">
        <f>INDEX('Компании'!$S$2:$S$16,MATCH($B$5,'Компании'!$B$2:$B$16,0))</f>
        <v>Перепроверить контакт, определить владельца роли и уточнить потребность до обращения.</v>
      </c>
      <c r="B37" s="76"/>
      <c r="C37" s="76"/>
      <c r="D37" s="76"/>
      <c r="E37" s="76"/>
      <c r="F37" s="76"/>
      <c r="G37" s="76"/>
      <c r="H37" s="76"/>
    </row>
    <row r="38" ht="23" customHeight="1">
      <c r="A38" s="76"/>
      <c r="B38" s="76"/>
      <c r="C38" s="76"/>
      <c r="D38" s="76"/>
      <c r="E38" s="76"/>
      <c r="F38" s="76"/>
      <c r="G38" s="76"/>
      <c r="H38" s="76"/>
    </row>
    <row r="39" ht="23" customHeight="1">
      <c r="A39" s="76"/>
      <c r="B39" s="76"/>
      <c r="C39" s="76"/>
      <c r="D39" s="76"/>
      <c r="E39" s="76"/>
      <c r="F39" s="76"/>
      <c r="G39" s="76"/>
      <c r="H39" s="76"/>
    </row>
    <row r="40" ht="23" customHeight="1">
      <c r="A40" s="28"/>
      <c r="B40" s="28"/>
      <c r="C40" s="28"/>
      <c r="D40" s="28"/>
      <c r="E40" s="28"/>
      <c r="F40" s="28"/>
      <c r="G40" s="28"/>
      <c r="H40" s="28"/>
    </row>
    <row r="41" ht="21" customHeight="1">
      <c r="A41" s="35" t="str">
        <v>ДАТА ДОСТУПА К ИСТОЧНИКУ</v>
      </c>
      <c r="B41" s="35"/>
      <c r="C41" s="35"/>
      <c r="D41" s="35"/>
      <c r="E41" s="35" t="str">
        <v>ОБЪЁМ ПРОВЕРКИ</v>
      </c>
      <c r="F41" s="35"/>
      <c r="G41" s="35"/>
      <c r="H41" s="35"/>
    </row>
    <row r="42" ht="23" customHeight="1">
      <c r="A42" s="77" t="n">
        <f>INDEX('Компании'!$T$2:$T$16,MATCH($B$5,'Компании'!$B$2:$B$16,0))</f>
        <v>46308.5</v>
      </c>
      <c r="B42" s="54"/>
      <c r="C42" s="54"/>
      <c r="D42" s="54"/>
      <c r="E42" s="54" t="str">
        <f>INDEX('Компании'!$U$2:$U$16,MATCH($B$5,'Компании'!$B$2:$B$16,0))</f>
        <v>Содержимое страницы прочитано</v>
      </c>
      <c r="F42" s="54"/>
      <c r="G42" s="54"/>
      <c r="H42" s="54"/>
    </row>
    <row r="43" ht="23" customHeight="1">
      <c r="A43" s="54"/>
      <c r="B43" s="54"/>
      <c r="C43" s="54"/>
      <c r="D43" s="54"/>
      <c r="E43" s="54"/>
      <c r="F43" s="54"/>
      <c r="G43" s="54"/>
      <c r="H43" s="54"/>
    </row>
    <row r="44" ht="21" customHeight="1">
      <c r="A44" s="35" t="str">
        <v>ДЕЛОВОЙ ИСТОЧНИК · URL</v>
      </c>
      <c r="B44" s="35"/>
      <c r="C44" s="35"/>
      <c r="D44" s="35"/>
      <c r="E44" s="35" t="str">
        <v>ИСТОЧНИК КОНТАКТА · URL</v>
      </c>
      <c r="F44" s="35"/>
      <c r="G44" s="35"/>
      <c r="H44" s="35"/>
    </row>
    <row r="45" ht="23" customHeight="1">
      <c r="A45" s="79" t="str">
        <f>INDEX('Компании'!$AA$2:$AA$16,MATCH($B$5,'Компании'!$B$2:$B$16,0))</f>
        <v>https://getrelog.com/</v>
      </c>
      <c r="B45" s="79"/>
      <c r="C45" s="79"/>
      <c r="D45" s="79"/>
      <c r="E45" s="79" t="str">
        <f>INDEX('Компании'!$AB$2:$AB$16,MATCH($B$5,'Компании'!$B$2:$B$16,0))</f>
        <v>https://getrelog.com/</v>
      </c>
      <c r="F45" s="79"/>
      <c r="G45" s="79"/>
      <c r="H45" s="79"/>
    </row>
    <row r="46" ht="23" customHeight="1">
      <c r="A46" s="79"/>
      <c r="B46" s="79"/>
      <c r="C46" s="79"/>
      <c r="D46" s="79"/>
      <c r="E46" s="79"/>
      <c r="F46" s="79"/>
      <c r="G46" s="79"/>
      <c r="H46" s="79"/>
    </row>
    <row r="47" ht="23" customHeight="1">
      <c r="A47" s="28"/>
      <c r="B47" s="28"/>
      <c r="C47" s="28"/>
      <c r="D47" s="28"/>
      <c r="E47" s="28"/>
      <c r="F47" s="28"/>
      <c r="G47" s="28"/>
      <c r="H47" s="28"/>
    </row>
    <row r="48" ht="21" customHeight="1">
      <c r="A48" s="35" t="str">
        <v>КАК СЛОЖИЛАСЬ ОЦЕНКА · ВХОДЫ ОТ 0 ДО 5</v>
      </c>
      <c r="B48" s="35"/>
      <c r="C48" s="35"/>
      <c r="D48" s="35"/>
      <c r="E48" s="35"/>
      <c r="F48" s="35"/>
      <c r="G48" s="35"/>
      <c r="H48" s="35"/>
    </row>
    <row r="49" ht="21" customHeight="1">
      <c r="A49" s="35" t="str">
        <v>Сегмент ×6</v>
      </c>
      <c r="B49" s="35"/>
      <c r="C49" s="35" t="str">
        <v>Сценарий ×6</v>
      </c>
      <c r="D49" s="35"/>
      <c r="E49" s="35" t="str">
        <v>Маршрут ×4</v>
      </c>
      <c r="F49" s="35"/>
      <c r="G49" s="35" t="str">
        <v>Источник ×4</v>
      </c>
      <c r="H49" s="35"/>
    </row>
    <row r="50" ht="23" customHeight="1">
      <c r="A50" s="82" t="n">
        <f>INDEX('Компании'!$J$2:$J$16,MATCH($B$5,'Компании'!$B$2:$B$16,0))</f>
        <v>5</v>
      </c>
      <c r="B50" s="82"/>
      <c r="C50" s="82" t="n">
        <f>INDEX('Компании'!$K$2:$K$16,MATCH($B$5,'Компании'!$B$2:$B$16,0))</f>
        <v>5</v>
      </c>
      <c r="D50" s="82"/>
      <c r="E50" s="82" t="n">
        <f>INDEX('Компании'!$L$2:$L$16,MATCH($B$5,'Компании'!$B$2:$B$16,0))</f>
        <v>3</v>
      </c>
      <c r="F50" s="82"/>
      <c r="G50" s="82" t="n">
        <f>INDEX('Компании'!$M$2:$M$16,MATCH($B$5,'Компании'!$B$2:$B$16,0))</f>
        <v>5</v>
      </c>
      <c r="H50" s="82"/>
    </row>
    <row r="51" ht="23" customHeight="1">
      <c r="A51" s="82"/>
      <c r="B51" s="82"/>
      <c r="C51" s="82"/>
      <c r="D51" s="82"/>
      <c r="E51" s="82"/>
      <c r="F51" s="82"/>
      <c r="G51" s="82"/>
      <c r="H51" s="82"/>
    </row>
    <row r="52" ht="23" customHeight="1">
      <c r="A52" s="28"/>
      <c r="B52" s="28"/>
      <c r="C52" s="28"/>
      <c r="D52" s="28"/>
      <c r="E52" s="28"/>
      <c r="F52" s="28"/>
      <c r="G52" s="28"/>
      <c r="H52" s="28"/>
    </row>
    <row r="53" ht="21" customHeight="1">
      <c r="A53" s="35" t="str">
        <v>СТАТУС</v>
      </c>
      <c r="B53" s="35"/>
      <c r="C53" s="35"/>
      <c r="D53" s="35"/>
      <c r="E53" s="35"/>
      <c r="F53" s="35"/>
      <c r="G53" s="35"/>
      <c r="H53" s="35"/>
    </row>
    <row r="54" ht="23" customHeight="1">
      <c r="A54" s="84" t="str">
        <f>INDEX('Компании'!$V$2:$V$16,MATCH($B$5,'Компании'!$B$2:$B$16,0))</f>
        <v>Не контактировали</v>
      </c>
      <c r="B54" s="84"/>
      <c r="C54" s="84"/>
      <c r="D54" s="84"/>
      <c r="E54" s="84"/>
      <c r="F54" s="84"/>
      <c r="G54" s="84"/>
      <c r="H54" s="84"/>
    </row>
    <row r="55" ht="23" customHeight="1">
      <c r="A55" s="28"/>
      <c r="B55" s="28"/>
      <c r="C55" s="28"/>
      <c r="D55" s="28"/>
      <c r="E55" s="28"/>
      <c r="F55" s="28"/>
      <c r="G55" s="28"/>
      <c r="H55" s="28"/>
    </row>
    <row r="56" ht="23" customHeight="1">
      <c r="A56" s="32" t="str">
        <v>Публикация контакта не подтверждает доставляемость email, активность телефона или интерес к покупке. Перед использованием перепроверьте контакт и роль.</v>
      </c>
      <c r="B56" s="32"/>
      <c r="C56" s="32"/>
      <c r="D56" s="32"/>
      <c r="E56" s="32"/>
      <c r="F56" s="32"/>
      <c r="G56" s="32"/>
      <c r="H56" s="32"/>
    </row>
    <row r="57" ht="23" customHeight="1">
      <c r="A57" s="32"/>
      <c r="B57" s="32"/>
      <c r="C57" s="32"/>
      <c r="D57" s="32"/>
      <c r="E57" s="32"/>
      <c r="F57" s="32"/>
      <c r="G57" s="32"/>
      <c r="H57" s="32"/>
    </row>
    <row r="58" ht="23" customHeight="1">
      <c r="A58" s="28"/>
      <c r="B58" s="28"/>
      <c r="C58" s="28"/>
      <c r="D58" s="28"/>
      <c r="E58" s="28"/>
      <c r="F58" s="28"/>
      <c r="G58" s="28"/>
      <c r="H58" s="28"/>
    </row>
    <row r="59" ht="30" customHeight="1">
      <c r="A59" s="53" t="str">
        <v>← Список компаний</v>
      </c>
      <c r="B59" s="53"/>
      <c r="C59" s="53"/>
      <c r="D59" s="53"/>
      <c r="E59" s="53" t="str">
        <v>Полные исходные данные →</v>
      </c>
      <c r="F59" s="53"/>
      <c r="G59" s="53"/>
      <c r="H59" s="53"/>
    </row>
    <row r="60" ht="23" customHeight="1">
      <c r="A60" s="28"/>
      <c r="B60" s="28"/>
      <c r="C60" s="28"/>
      <c r="D60" s="28"/>
      <c r="E60" s="28"/>
      <c r="F60" s="28"/>
      <c r="G60" s="28"/>
      <c r="H60" s="28"/>
    </row>
  </sheetData>
  <mergeCells>
    <mergeCell ref="A2:H2"/>
    <mergeCell ref="A3:H3"/>
    <mergeCell ref="B5:H5"/>
    <mergeCell ref="A7:B7"/>
    <mergeCell ref="C7:H7"/>
    <mergeCell ref="A8:B9"/>
    <mergeCell ref="C8:H9"/>
    <mergeCell ref="A11:H11"/>
    <mergeCell ref="A12:H14"/>
    <mergeCell ref="A16:H16"/>
    <mergeCell ref="A17:H19"/>
    <mergeCell ref="A21:D21"/>
    <mergeCell ref="A22:D24"/>
    <mergeCell ref="E21:H21"/>
    <mergeCell ref="E22:H24"/>
    <mergeCell ref="A26:H26"/>
    <mergeCell ref="A27:H29"/>
    <mergeCell ref="A31:H31"/>
    <mergeCell ref="A32:H34"/>
    <mergeCell ref="A36:H36"/>
    <mergeCell ref="A37:H39"/>
    <mergeCell ref="A41:D41"/>
    <mergeCell ref="A42:D43"/>
    <mergeCell ref="E41:H41"/>
    <mergeCell ref="E42:H43"/>
    <mergeCell ref="A44:D44"/>
    <mergeCell ref="E44:H44"/>
    <mergeCell ref="A45:D46"/>
    <mergeCell ref="E45:H46"/>
    <mergeCell ref="A48:H48"/>
    <mergeCell ref="A49:B49"/>
    <mergeCell ref="A50:B51"/>
    <mergeCell ref="C49:D49"/>
    <mergeCell ref="C50:D51"/>
    <mergeCell ref="E49:F49"/>
    <mergeCell ref="E50:F51"/>
    <mergeCell ref="G49:H49"/>
    <mergeCell ref="G50:H51"/>
    <mergeCell ref="A53:H53"/>
    <mergeCell ref="A54:H54"/>
    <mergeCell ref="A56:H57"/>
    <mergeCell ref="A59:D59"/>
    <mergeCell ref="E59:H59"/>
  </mergeCells>
  <dataValidations count="1">
    <dataValidation type="list" sqref="B5">
      <formula1>INDIRECT("'Компании'!$B$2:$B$16")</formula1>
    </dataValidation>
  </dataValidations>
  <hyperlinks>
    <hyperlink ref="A59" location="'Список'!A1" display="← Список компаний"/>
    <hyperlink ref="E59" location="'Компании'!A1" display="Полные исходные данные →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C7CDC2"/>
  </sheetPr>
  <sheetViews>
    <sheetView showGridLines="0" workbookViewId="0"/>
  </sheetViews>
  <sheetFormatPr defaultRowHeight="15"/>
  <cols>
    <col min="1" max="1" width="33" hidden="0" customWidth="1"/>
    <col min="2" max="2" width="103" hidden="0" customWidth="1"/>
  </cols>
  <sheetData>
    <row r="1" ht="50" customHeight="1">
      <c r="A1" s="101" t="str">
        <v>B2B prospect research / Kazakhstan</v>
      </c>
      <c r="B1" s="101" t="str">
        <v>Ansar Kilash · демонстрационный материал для найма и обсуждения research-задач</v>
      </c>
    </row>
    <row r="2" ht="48" customHeight="1">
      <c r="A2" s="105" t="str">
        <v>Что это</v>
      </c>
      <c r="B2" s="56" t="str">
        <v>15 компаний / брендов с присутствием в Казахстане. Исследование выполнено для этого портфолио с помощью ИИ; не выдаётся за прошлую самостоятельную клиентскую работу Ansar.</v>
      </c>
    </row>
    <row r="3" ht="48" customHeight="1">
      <c r="A3" s="102" t="str">
        <v>Условный заказчик / предложение</v>
      </c>
      <c r="B3" s="32" t="str">
        <v>Независимый подрядчик по B2B research: базы потенциальных клиентов и партнёров для компаний, продающих бизнесу. Реального заказчика нет.</v>
      </c>
    </row>
    <row r="4" ht="48" customHeight="1">
      <c r="A4" s="102" t="str">
        <v>ICP / критерии включения</v>
      </c>
      <c r="B4" s="32" t="str">
        <v>Публично описанное B2B-предложение или деловой продукт; Казахстан; возможный сценарий поиска клиентов или партнёров; официальный источник.</v>
      </c>
    </row>
    <row r="5" ht="48" customHeight="1">
      <c r="A5" s="102" t="str">
        <v>Исключения</v>
      </c>
      <c r="B5" s="32" t="str">
        <v>Нет предположений о выручке, размере, вакансиях, бюджетах или готовности покупать. Материнская компания и бренд не считаются отдельными лидами.</v>
      </c>
    </row>
    <row r="6" ht="48" customHeight="1">
      <c r="A6" s="102" t="str">
        <v>Что является фактом</v>
      </c>
      <c r="B6" s="32" t="str">
        <v>Колонка E: короткое наблюдение из официальной страницы или её индексированного содержимого. Источники AA и AB, объём проверки U.</v>
      </c>
    </row>
    <row r="7" ht="48" customHeight="1">
      <c r="A7" s="102" t="str">
        <v>Что является гипотезой</v>
      </c>
      <c r="B7" s="32" t="str">
        <v>F: предлагаемое применение research. G: целевая роль, а не проверенный человек. H: опубликованный контактный маршрут, а не подтверждённый ЛПР.</v>
      </c>
    </row>
    <row r="8" ht="48" customHeight="1">
      <c r="A8" s="102" t="str">
        <v>Дата доступа</v>
      </c>
      <c r="B8" s="103" t="d">
        <v>2026-10-13T12:00:00.000Z</v>
      </c>
    </row>
    <row r="9" ht="48" customHeight="1">
      <c r="A9" s="102" t="str">
        <v>Ограничение проверки</v>
      </c>
      <c r="B9" s="32" t="str">
        <v>Дата доступа отражает проверку источника в этой сессии. Индексированный текст мог быть собран раньше. Email не проверялись на доставляемость, телефоны не прозванивались, формы не отправлялись.</v>
      </c>
    </row>
    <row r="10" ht="48" customHeight="1">
      <c r="A10" s="105" t="str">
        <v>Порядок работы</v>
      </c>
      <c r="B10" s="56" t="str">
        <v>Бриф → официальный сайт → факты → гипотеза → проверка контакта → дедупликация домена и группы → оценка → согласование обращения → CRM-передача.</v>
      </c>
    </row>
    <row r="11" ht="48" customHeight="1">
      <c r="A11" s="105" t="str">
        <v>Скоринг / формула</v>
      </c>
      <c r="B11" s="56" t="str">
        <v>N = J×6 + K×6 + L×4 + M×4. Максимум 100. Это субъективная приоритизация исследования, не вероятность сделки.</v>
      </c>
    </row>
    <row r="12" ht="48" customHeight="1">
      <c r="A12" s="102" t="str">
        <v>J / Сегмент (30)</v>
      </c>
      <c r="B12" s="32" t="str">
        <v>0: вне ICP; 1: слабо связан; 2: косвенно B2B; 3: B2B с узким или сложным доступом; 4: смешанный / инфраструктурный профиль; 5: прямое B2B-предложение.</v>
      </c>
    </row>
    <row r="13" ht="48" customHeight="1">
      <c r="A13" s="102" t="str">
        <v>K / Сценарий (30)</v>
      </c>
      <c r="B13" s="32" t="str">
        <v>0: нет сценария; 1: сильное пересечение с продуктом; 2: специализированный вход; 3: партнёрская гипотеза; 4: конкретный сегмент; 5: узкий сценарий явно связан с продуктом. Спрос остаётся неизвестным.</v>
      </c>
    </row>
    <row r="14" ht="48" customHeight="1">
      <c r="A14" s="102" t="str">
        <v>L / Маршрут (20)</v>
      </c>
      <c r="B14" s="32" t="str">
        <v>0: подходящий контакт не найден; 1: только support / операционный; 2: общий или партнёрская ссылка; 3: форма / деловой общий контакт; 4: sales / commerce; 5: явно опубликован канал сотрудничества. ЛПР не подтверждён.</v>
      </c>
    </row>
    <row r="15" ht="48" customHeight="1">
      <c r="A15" s="102" t="str">
        <v>M / Источник (20)</v>
      </c>
      <c r="B15" s="32" t="str">
        <v>0: нет источника; 1: стороннее упоминание; 2: старый / частичный индекс официальной страницы; 3: официальный индекс, прямой доступ ограничен; 4: прочитан официальный продукт; 5: продукт и контактный маршрут прочитаны.</v>
      </c>
    </row>
    <row r="16" ht="48" customHeight="1">
      <c r="A16" s="105" t="str">
        <v>Приоритет</v>
      </c>
      <c r="B16" s="56" t="str">
        <v>A: 80–100 изучить первым; B: 60–79 уточнить; C: ниже 60 обогатить. Даже A не означает готовность к рассылке.</v>
      </c>
    </row>
    <row r="17" ht="48" customHeight="1">
      <c r="A17" s="102" t="str">
        <v>Цвета / редактирование</v>
      </c>
      <c r="B17" s="32" t="str">
        <v>Жёлтые J:M — входы оценки; V — статус; Z — ответственный. N:O — формулы. Список и карточка обновляются из листа «Компании».</v>
      </c>
    </row>
    <row r="18" ht="48" customHeight="1">
      <c r="A18" s="105" t="str">
        <v>Перед обращением</v>
      </c>
      <c r="B18" s="56" t="str">
        <v>Перепроверить исходную страницу; подтвердить бренд и юрлицо; найти нужную роль; уточнить доступность и подходящий канал; согласовать продукт, территорию и исключения.</v>
      </c>
    </row>
    <row r="19" ht="48" customHeight="1">
      <c r="A19" s="102" t="str">
        <v>После ответа</v>
      </c>
      <c r="B19" s="32" t="str">
        <v>Зафиксировать роль, задачу, текущий процесс, сроки, согласованный следующий шаг. Перед встречей подтвердить участников, часовой пояс, повестку и владельца со стороны команды.</v>
      </c>
    </row>
    <row r="20" ht="48" customHeight="1">
      <c r="A20" s="105" t="str">
        <v>Статус результатов</v>
      </c>
      <c r="B20" s="56" t="str">
        <v>Обращения не отправлялись. Нет подтверждённых ответов, встреч, продаж или клиентов. Контактные формы sales обычно предназначены покупателям продукта, а не подрядчикам или кандидатам.</v>
      </c>
    </row>
    <row r="21" ht="48" customHeight="1">
      <c r="A21" s="102" t="str">
        <v>Расширение базы</v>
      </c>
      <c r="B21" s="32" t="str">
        <v>Добавьте строку в таблицу и протяните N:O. Сверьте формулы и источник; используйте тот же ключ ID и нормализованный домен. Не дублируйте бренд и материнскую компанию.</v>
      </c>
    </row>
    <row r="22" ht="48" customHeight="1">
      <c r="A22" s="105" t="str">
        <v>Контроль перед передачей</v>
      </c>
      <c r="B22" s="56" t="str">
        <v>Проверить обязательные поля, уникальность доменов, ссылки, тип контакта, свежесть источника, обоснование оценок и явный next action.</v>
      </c>
    </row>
    <row r="23" ht="48" customHeight="1">
      <c r="A23" s="102" t="str">
        <v>Сводка / аккаунтов</v>
      </c>
      <c r="B23" s="32" t="n">
        <f>COUNTA('Компании'!A2:A16)</f>
        <v>15</v>
      </c>
    </row>
    <row r="24" ht="48" customHeight="1">
      <c r="A24" s="102" t="str">
        <v>Сводка / приоритет A</v>
      </c>
      <c r="B24" s="32" t="n">
        <f>COUNTIFS('Компании'!N2:N16,"&gt;=80")</f>
        <v>7</v>
      </c>
    </row>
    <row r="25" ht="48" customHeight="1">
      <c r="A25" s="102" t="str">
        <v>Сводка / средняя оценка</v>
      </c>
      <c r="B25" s="104" t="n">
        <f>AVERAGE('Компании'!N2:N16)</f>
        <v>74.13333333333334</v>
      </c>
    </row>
    <row r="27">
      <c r="A27" t="str">
        <v>← Обзор</v>
      </c>
    </row>
  </sheetData>
  <hyperlinks>
    <hyperlink ref="A27" location="'Обзор'!A1" display="← Обзор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1" topLeftCell="C2" activePane="bottomRight" state="frozen"/>
    </sheetView>
  </sheetViews>
  <sheetFormatPr defaultRowHeight="15"/>
  <cols>
    <col min="1" max="1" width="12" hidden="0" customWidth="1"/>
    <col min="2" max="2" width="25" hidden="0" customWidth="1"/>
    <col min="3" max="3" width="42" hidden="0" customWidth="1"/>
    <col min="4" max="4" width="25" hidden="0" customWidth="1"/>
    <col min="5" max="5" width="48" hidden="0" customWidth="1"/>
    <col min="6" max="6" width="55" hidden="0" customWidth="1"/>
    <col min="7" max="7" width="30" hidden="0" customWidth="1"/>
    <col min="8" max="8" width="54" hidden="0" customWidth="1"/>
    <col min="9" max="9" width="30" hidden="0" customWidth="1"/>
    <col min="10" max="10" width="13" hidden="0" customWidth="1"/>
    <col min="11" max="11" width="13" hidden="0" customWidth="1"/>
    <col min="12" max="12" width="13" hidden="0" customWidth="1"/>
    <col min="13" max="13" width="13" hidden="0" customWidth="1"/>
    <col min="14" max="14" width="16" hidden="0" customWidth="1"/>
    <col min="15" max="15" width="27" hidden="0" customWidth="1"/>
    <col min="16" max="16" width="85" hidden="0" customWidth="1"/>
    <col min="17" max="17" width="48" hidden="0" customWidth="1"/>
    <col min="18" max="18" width="55" hidden="0" customWidth="1"/>
    <col min="19" max="19" width="52" hidden="0" customWidth="1"/>
    <col min="20" max="20" width="18" hidden="0" customWidth="1"/>
    <col min="21" max="21" width="55" hidden="0" customWidth="1"/>
    <col min="22" max="22" width="24" hidden="0" customWidth="1"/>
    <col min="23" max="23" width="45" hidden="0" customWidth="1"/>
    <col min="24" max="24" width="26" hidden="0" customWidth="1"/>
    <col min="25" max="25" width="22" hidden="0" customWidth="1"/>
    <col min="26" max="26" width="22" hidden="0" customWidth="1"/>
    <col min="27" max="27" width="70" hidden="0" customWidth="1"/>
    <col min="28" max="28" width="70" hidden="0" customWidth="1"/>
  </cols>
  <sheetData>
    <row r="1" ht="42" customHeight="1">
      <c r="A1" s="91" t="str">
        <v>ID</v>
      </c>
      <c r="B1" s="91" t="str">
        <v>Компания / бренд</v>
      </c>
      <c r="C1" s="91" t="str">
        <v>Сайт</v>
      </c>
      <c r="D1" s="91" t="str">
        <v>Сегмент</v>
      </c>
      <c r="E1" s="91" t="str">
        <v>Факт из источника</v>
      </c>
      <c r="F1" s="91" t="str">
        <v>Гипотеза применения</v>
      </c>
      <c r="G1" s="91" t="str">
        <v>Целевая роль (не ЛПР)</v>
      </c>
      <c r="H1" s="91" t="str">
        <v>Публичный контакт / маршрут</v>
      </c>
      <c r="I1" s="91" t="str">
        <v>Тип контакта</v>
      </c>
      <c r="J1" s="92" t="str">
        <v>Сегмент 0–5</v>
      </c>
      <c r="K1" s="92" t="str">
        <v>Сценарий 0–5</v>
      </c>
      <c r="L1" s="92" t="str">
        <v>Маршрут 0–5</v>
      </c>
      <c r="M1" s="92" t="str">
        <v>Источник 0–5</v>
      </c>
      <c r="N1" s="92" t="str">
        <v>ICP-оценка /100</v>
      </c>
      <c r="O1" s="92" t="str">
        <v>Приоритет исследования</v>
      </c>
      <c r="P1" s="92" t="str">
        <v>Обоснование оценки</v>
      </c>
      <c r="Q1" s="93" t="str">
        <v>Плюс для research</v>
      </c>
      <c r="R1" s="93" t="str">
        <v>Ограничение</v>
      </c>
      <c r="S1" s="93" t="str">
        <v>Следующий шаг</v>
      </c>
      <c r="T1" s="93" t="str">
        <v>Дата доступа</v>
      </c>
      <c r="U1" s="93" t="str">
        <v>Объём проверки</v>
      </c>
      <c r="V1" s="93" t="str">
        <v>Статус</v>
      </c>
      <c r="W1" s="93" t="str">
        <v>Email / телефон проверен?</v>
      </c>
      <c r="X1" s="93" t="str">
        <v>Бюджет / потребность</v>
      </c>
      <c r="Y1" s="93" t="str">
        <v>Размер компании</v>
      </c>
      <c r="Z1" s="93" t="str">
        <v>Владелец задачи</v>
      </c>
      <c r="AA1" s="94" t="str">
        <v>Исходный деловой источник</v>
      </c>
      <c r="AB1" s="94" t="str">
        <v>Источник контакта</v>
      </c>
    </row>
    <row r="2" ht="85" customHeight="1">
      <c r="A2" s="88" t="str">
        <v>KZ-01</v>
      </c>
      <c r="B2" s="88" t="str">
        <v>Documentolog</v>
      </c>
      <c r="C2" s="88" t="str">
        <v>https://documentolog.com/en</v>
      </c>
      <c r="D2" s="88" t="str">
        <v>Document workflow</v>
      </c>
      <c r="E2" s="88" t="str">
        <v>Онлайн-подписание и интеграции с 1С и Bitrix24.</v>
      </c>
      <c r="F2" s="88" t="str">
        <v>Составить отдельные списки партнёров среди интеграторов 1С и CRM.</v>
      </c>
      <c r="G2" s="88" t="str">
        <v>Head of partnerships</v>
      </c>
      <c r="H2" s="88" t="str">
        <v>Кнопка отдела продаж; helpdesk@documentolog.com — поддержка</v>
      </c>
      <c r="I2" s="88" t="str">
        <v>Форма / общий деловой контакт</v>
      </c>
      <c r="J2" s="95" t="n">
        <v>5</v>
      </c>
      <c r="K2" s="95" t="n">
        <v>4</v>
      </c>
      <c r="L2" s="95" t="n">
        <v>3</v>
      </c>
      <c r="M2" s="95" t="n">
        <v>5</v>
      </c>
      <c r="N2" s="89" t="n">
        <f>J2*6+K2*6+L2*4+M2*4</f>
        <v>86</v>
      </c>
      <c r="O2" s="88" t="str">
        <f>IF(N2&gt;=80,"A — изучить первым",IF(N2&gt;=60,"B — уточнить","C — обогатить"))</f>
        <v>A — изучить первым</v>
      </c>
      <c r="P2" s="88" t="str">
        <v>Сегмент 5: B2B-профиль; сценарий 4: Составить отдельные списки партнёров среди интеграторов 1С и CRM. Маршрут 3: Кнопка отдела продаж; helpdesk@documentolog.com — поддержка. Источник 5: Page content reviewed.</v>
      </c>
      <c r="Q2" s="88" t="str">
        <v>Онлайн-подписание и интеграции с 1С и Bitrix24.</v>
      </c>
      <c r="R2" s="88" t="str">
        <v>Спрос на внешний поиск лидов не подтверждён.</v>
      </c>
      <c r="S2" s="88" t="str">
        <v>Перепроверить контакт, определить владельца роли и уточнить потребность до обращения.</v>
      </c>
      <c r="T2" s="90" t="d">
        <v>2026-10-13T12:00:00.000Z</v>
      </c>
      <c r="U2" s="88" t="str">
        <v>Содержимое страницы прочитано</v>
      </c>
      <c r="V2" s="96" t="str">
        <v>Не контактировали</v>
      </c>
      <c r="W2" s="88" t="str">
        <v>Нет; только публикация в источнике</v>
      </c>
      <c r="X2" s="88" t="str">
        <v>Не установлены</v>
      </c>
      <c r="Y2" s="88" t="str">
        <v>Не установлен</v>
      </c>
      <c r="Z2" s="96" t="str"/>
      <c r="AA2" s="88" t="str">
        <v>https://documentolog.com/en</v>
      </c>
      <c r="AB2" s="88" t="str">
        <v>https://documentolog.com/en/contacts</v>
      </c>
    </row>
    <row r="3" ht="85" customHeight="1">
      <c r="A3" s="85" t="str">
        <v>KZ-02</v>
      </c>
      <c r="B3" s="85" t="str">
        <v>BTS Digital</v>
      </c>
      <c r="C3" s="85" t="str">
        <v>https://btsdigital.kz/</v>
      </c>
      <c r="D3" s="85" t="str">
        <v>Digital platforms</v>
      </c>
      <c r="E3" s="85" t="str">
        <v>В линейке Aitu представлены workspace, cloud и security.</v>
      </c>
      <c r="F3" s="85" t="str">
        <v>Искать партнёров по отдельным продуктам, а не одной общей базой.</v>
      </c>
      <c r="G3" s="85" t="str">
        <v>Partnerships lead</v>
      </c>
      <c r="H3" s="85" t="str">
        <v>partner@btsdigital.kz (партнёрства)</v>
      </c>
      <c r="I3" s="85" t="str">
        <v>Sales / сотрудничество</v>
      </c>
      <c r="J3" s="95" t="n">
        <v>5</v>
      </c>
      <c r="K3" s="95" t="n">
        <v>4</v>
      </c>
      <c r="L3" s="95" t="n">
        <v>5</v>
      </c>
      <c r="M3" s="95" t="n">
        <v>3</v>
      </c>
      <c r="N3" s="86" t="n">
        <f>J3*6+K3*6+L3*4+M3*4</f>
        <v>86</v>
      </c>
      <c r="O3" s="85" t="str">
        <f>IF(N3&gt;=80,"A — изучить первым",IF(N3&gt;=60,"B — уточнить","C — обогатить"))</f>
        <v>A — изучить первым</v>
      </c>
      <c r="P3" s="85" t="str">
        <v>Сегмент 5: B2B-профиль; сценарий 4: Искать партнёров по отдельным продуктам, а не одной общей базой. Маршрут 5: partner@btsdigital.kz (партнёрства). Источник 3: Official search-index content; direct fetch failed.</v>
      </c>
      <c r="Q3" s="85" t="str">
        <v>В линейке Aitu представлены workspace, cloud и security.</v>
      </c>
      <c r="R3" s="85" t="str">
        <v>За B2B может отвечать дистрибьютор Smart Cities; уточнить зону ответственности.</v>
      </c>
      <c r="S3" s="85" t="str">
        <v>Перепроверить контакт, определить владельца роли и уточнить потребность до обращения.</v>
      </c>
      <c r="T3" s="87" t="d">
        <v>2026-10-13T12:00:00.000Z</v>
      </c>
      <c r="U3" s="85" t="str">
        <v>Индекс официальной страницы; прямой доступ не удался</v>
      </c>
      <c r="V3" s="96" t="str">
        <v>Не контактировали</v>
      </c>
      <c r="W3" s="85" t="str">
        <v>Нет; только публикация в источнике</v>
      </c>
      <c r="X3" s="85" t="str">
        <v>Не установлены</v>
      </c>
      <c r="Y3" s="85" t="str">
        <v>Не установлен</v>
      </c>
      <c r="Z3" s="96" t="str"/>
      <c r="AA3" s="85" t="str">
        <v>https://btsdigital.kz/</v>
      </c>
      <c r="AB3" s="85" t="str">
        <v>https://btsdigital.kz/</v>
      </c>
    </row>
    <row r="4" ht="85" customHeight="1">
      <c r="A4" s="88" t="str">
        <v>KZ-03</v>
      </c>
      <c r="B4" s="88" t="str">
        <v>Wooppay</v>
      </c>
      <c r="C4" s="88" t="str">
        <v>https://wooppay.com/services</v>
      </c>
      <c r="D4" s="88" t="str">
        <v>Payments</v>
      </c>
      <c r="E4" s="88" t="str">
        <v>Сайт кошелька содержит ссылку на бизнес-направление Woopkassa.</v>
      </c>
      <c r="F4" s="88" t="str">
        <v>Исследовать мерчантов по типу оплаты после уточнения бизнес-направления.</v>
      </c>
      <c r="G4" s="88" t="str">
        <v>Merchant partnerships lead</v>
      </c>
      <c r="H4" s="88" t="str">
        <v>spp@wooppay.com (только поддержка); бизнес-ссылка на сайте</v>
      </c>
      <c r="I4" s="88" t="str">
        <v>Поддержка / служебный маршрут</v>
      </c>
      <c r="J4" s="95" t="n">
        <v>4</v>
      </c>
      <c r="K4" s="95" t="n">
        <v>3</v>
      </c>
      <c r="L4" s="95" t="n">
        <v>1</v>
      </c>
      <c r="M4" s="95" t="n">
        <v>5</v>
      </c>
      <c r="N4" s="89" t="n">
        <f>J4*6+K4*6+L4*4+M4*4</f>
        <v>66</v>
      </c>
      <c r="O4" s="88" t="str">
        <f>IF(N4&gt;=80,"A — изучить первым",IF(N4&gt;=60,"B — уточнить","C — обогатить"))</f>
        <v>B — уточнить</v>
      </c>
      <c r="P4" s="88" t="str">
        <v>Сегмент 4: B2B-профиль; сценарий 3: Исследовать мерчантов по типу оплаты после уточнения бизнес-направления. Маршрут 1: spp@wooppay.com (только поддержка); бизнес-ссылка на сайте. Источник 5: Page content reviewed.</v>
      </c>
      <c r="Q4" s="88" t="str">
        <v>Сайт кошелька содержит ссылку на бизнес-направление Woopkassa.</v>
      </c>
      <c r="R4" s="88" t="str">
        <v>Поддержка физических лиц не является контактом покупателя.</v>
      </c>
      <c r="S4" s="88" t="str">
        <v>Перепроверить контакт, определить владельца роли и уточнить потребность до обращения.</v>
      </c>
      <c r="T4" s="90" t="d">
        <v>2026-10-13T12:00:00.000Z</v>
      </c>
      <c r="U4" s="88" t="str">
        <v>Содержимое страницы прочитано</v>
      </c>
      <c r="V4" s="96" t="str">
        <v>Не контактировали</v>
      </c>
      <c r="W4" s="88" t="str">
        <v>Нет; только публикация в источнике</v>
      </c>
      <c r="X4" s="88" t="str">
        <v>Не установлены</v>
      </c>
      <c r="Y4" s="88" t="str">
        <v>Не установлен</v>
      </c>
      <c r="Z4" s="96" t="str"/>
      <c r="AA4" s="88" t="str">
        <v>https://wooppay.com/services</v>
      </c>
      <c r="AB4" s="88" t="str">
        <v>https://wooppay.com/services</v>
      </c>
    </row>
    <row r="5" ht="85" customHeight="1">
      <c r="A5" s="85" t="str">
        <v>KZ-04</v>
      </c>
      <c r="B5" s="85" t="str">
        <v>CEREBRA / Almaty A.I. Lab</v>
      </c>
      <c r="C5" s="85" t="str">
        <v>https://cerebra.kz/</v>
      </c>
      <c r="D5" s="85" t="str">
        <v>Health technology</v>
      </c>
      <c r="E5" s="85" t="str">
        <v>ПО с ИИ для выявления инсульта; на сайте указан Almaty A.I. Lab.</v>
      </c>
      <c r="F5" s="85" t="str">
        <v>Подготовить карту больниц и диагностических центров для согласованного пилота.</v>
      </c>
      <c r="G5" s="85" t="str">
        <v>Business development lead</v>
      </c>
      <c r="H5" s="85" t="str">
        <v>Раздел Contacts; ЛПР и деловой email не установлены</v>
      </c>
      <c r="I5" s="85" t="str">
        <v>Не установлен</v>
      </c>
      <c r="J5" s="95" t="n">
        <v>3</v>
      </c>
      <c r="K5" s="95" t="n">
        <v>2</v>
      </c>
      <c r="L5" s="95" t="n">
        <v>0</v>
      </c>
      <c r="M5" s="95" t="n">
        <v>4</v>
      </c>
      <c r="N5" s="86" t="n">
        <f>J5*6+K5*6+L5*4+M5*4</f>
        <v>46</v>
      </c>
      <c r="O5" s="85" t="str">
        <f>IF(N5&gt;=80,"A — изучить первым",IF(N5&gt;=60,"B — уточнить","C — обогатить"))</f>
        <v>C — обогатить</v>
      </c>
      <c r="P5" s="85" t="str">
        <v>Сегмент 3: B2B-профиль; сценарий 2: Подготовить карту больниц и диагностических центров для согласованного пилота. Маршрут 0: Раздел Contacts; ЛПР и деловой email не установлены. Источник 4: Page content reviewed; usable contact not established.</v>
      </c>
      <c r="Q5" s="85" t="str">
        <v>ПО с ИИ для выявления инсульта; на сайте указан Almaty A.I. Lab.</v>
      </c>
      <c r="R5" s="85" t="str">
        <v>Специализированные закупки; клинические утверждения требуют экспертной проверки.</v>
      </c>
      <c r="S5" s="85" t="str">
        <v>Перепроверить контакт, определить владельца роли и уточнить потребность до обращения.</v>
      </c>
      <c r="T5" s="87" t="d">
        <v>2026-10-13T12:00:00.000Z</v>
      </c>
      <c r="U5" s="85" t="str">
        <v>Страница прочитана; подходящий контакт не установлен</v>
      </c>
      <c r="V5" s="96" t="str">
        <v>Не контактировали</v>
      </c>
      <c r="W5" s="85" t="str">
        <v>Нет; только публикация в источнике</v>
      </c>
      <c r="X5" s="85" t="str">
        <v>Не установлены</v>
      </c>
      <c r="Y5" s="85" t="str">
        <v>Не установлен</v>
      </c>
      <c r="Z5" s="96" t="str"/>
      <c r="AA5" s="85" t="str">
        <v>https://cerebra.kz/</v>
      </c>
      <c r="AB5" s="85" t="str">
        <v>https://cerebra.kz/</v>
      </c>
    </row>
    <row r="6" ht="85" customHeight="1">
      <c r="A6" s="88" t="str">
        <v>KZ-05</v>
      </c>
      <c r="B6" s="88" t="str">
        <v>iD Host / Kazakhtelecom</v>
      </c>
      <c r="C6" s="88" t="str">
        <v>https://idhost.telecom.kz/</v>
      </c>
      <c r="D6" s="88" t="str">
        <v>Hosting</v>
      </c>
      <c r="E6" s="88" t="str">
        <v>Портал предлагает домены и хостинг под брендом iD Host.</v>
      </c>
      <c r="F6" s="88" t="str">
        <v>Исследовать региональные агентства как возможный сегмент реселлеров.</v>
      </c>
      <c r="G6" s="88" t="str">
        <v>Channel sales lead</v>
      </c>
      <c r="H6" s="88" t="str">
        <v>8 800 080 0188 (общая линия); ссылка обратной связи</v>
      </c>
      <c r="I6" s="88" t="str">
        <v>Общий / партнёрская ссылка</v>
      </c>
      <c r="J6" s="95" t="n">
        <v>4</v>
      </c>
      <c r="K6" s="95" t="n">
        <v>3</v>
      </c>
      <c r="L6" s="95" t="n">
        <v>2</v>
      </c>
      <c r="M6" s="95" t="n">
        <v>5</v>
      </c>
      <c r="N6" s="89" t="n">
        <f>J6*6+K6*6+L6*4+M6*4</f>
        <v>70</v>
      </c>
      <c r="O6" s="88" t="str">
        <f>IF(N6&gt;=80,"A — изучить первым",IF(N6&gt;=60,"B — уточнить","C — обогатить"))</f>
        <v>B — уточнить</v>
      </c>
      <c r="P6" s="88" t="str">
        <v>Сегмент 4: B2B-профиль; сценарий 3: Исследовать региональные агентства как возможный сегмент реселлеров. Маршрут 2: 8 800 080 0188 (общая линия); ссылка обратной связи. Источник 5: Page content reviewed.</v>
      </c>
      <c r="Q6" s="88" t="str">
        <v>Портал предлагает домены и хостинг под брендом iD Host.</v>
      </c>
      <c r="R6" s="88" t="str">
        <v>Учёт на уровне бренда; не считать материнскую компанию отдельным лидом.</v>
      </c>
      <c r="S6" s="88" t="str">
        <v>Перепроверить контакт, определить владельца роли и уточнить потребность до обращения.</v>
      </c>
      <c r="T6" s="90" t="d">
        <v>2026-10-13T12:00:00.000Z</v>
      </c>
      <c r="U6" s="88" t="str">
        <v>Содержимое страницы прочитано</v>
      </c>
      <c r="V6" s="96" t="str">
        <v>Не контактировали</v>
      </c>
      <c r="W6" s="88" t="str">
        <v>Нет; только публикация в источнике</v>
      </c>
      <c r="X6" s="88" t="str">
        <v>Не установлены</v>
      </c>
      <c r="Y6" s="88" t="str">
        <v>Не установлен</v>
      </c>
      <c r="Z6" s="96" t="str"/>
      <c r="AA6" s="88" t="str">
        <v>https://idhost.telecom.kz/</v>
      </c>
      <c r="AB6" s="88" t="str">
        <v>https://idhost.telecom.kz/</v>
      </c>
    </row>
    <row r="7" ht="85" customHeight="1">
      <c r="A7" s="85" t="str">
        <v>KZ-06</v>
      </c>
      <c r="B7" s="85" t="str">
        <v>Beeline Kazakhstan</v>
      </c>
      <c r="C7" s="85" t="str">
        <v>https://beeline.kz/kk</v>
      </c>
      <c r="D7" s="85" t="str">
        <v>Telecom</v>
      </c>
      <c r="E7" s="85" t="str">
        <v>Официальный сайт ведёт в разделы мобильной связи, офисной связи и решений для бизнеса.</v>
      </c>
      <c r="F7" s="85" t="str">
        <v>Сегментировать региональные компании с несколькими точками для ограниченного пилота.</v>
      </c>
      <c r="G7" s="85" t="str">
        <v>B2B sales operations lead</v>
      </c>
      <c r="H7" s="85" t="str">
        <v>infodesk@beeline.kz (общий); ссылка business.beeline.kz</v>
      </c>
      <c r="I7" s="85" t="str">
        <v>Общий / партнёрская ссылка</v>
      </c>
      <c r="J7" s="95" t="n">
        <v>4</v>
      </c>
      <c r="K7" s="95" t="n">
        <v>2</v>
      </c>
      <c r="L7" s="95" t="n">
        <v>2</v>
      </c>
      <c r="M7" s="95" t="n">
        <v>5</v>
      </c>
      <c r="N7" s="86" t="n">
        <f>J7*6+K7*6+L7*4+M7*4</f>
        <v>64</v>
      </c>
      <c r="O7" s="85" t="str">
        <f>IF(N7&gt;=80,"A — изучить первым",IF(N7&gt;=60,"B — уточнить","C — обогатить"))</f>
        <v>B — уточнить</v>
      </c>
      <c r="P7" s="85" t="str">
        <v>Сегмент 4: B2B-профиль; сценарий 2: Сегментировать региональные компании с несколькими точками для ограниченного пилота. Маршрут 2: infodesk@beeline.kz (общий); ссылка business.beeline.kz. Источник 5: Page content reviewed.</v>
      </c>
      <c r="Q7" s="85" t="str">
        <v>Официальный сайт ведёт в разделы мобильной связи, офисной связи и решений для бизнеса.</v>
      </c>
      <c r="R7" s="85" t="str">
        <v>Крупный аккаунт; текущий процесс поиска и правила для подрядчиков неизвестны.</v>
      </c>
      <c r="S7" s="85" t="str">
        <v>Перепроверить контакт, определить владельца роли и уточнить потребность до обращения.</v>
      </c>
      <c r="T7" s="87" t="d">
        <v>2026-10-13T12:00:00.000Z</v>
      </c>
      <c r="U7" s="85" t="str">
        <v>Содержимое страницы прочитано</v>
      </c>
      <c r="V7" s="96" t="str">
        <v>Не контактировали</v>
      </c>
      <c r="W7" s="85" t="str">
        <v>Нет; только публикация в источнике</v>
      </c>
      <c r="X7" s="85" t="str">
        <v>Не установлены</v>
      </c>
      <c r="Y7" s="85" t="str">
        <v>Не установлен</v>
      </c>
      <c r="Z7" s="96" t="str"/>
      <c r="AA7" s="85" t="str">
        <v>https://beeline.kz/kk</v>
      </c>
      <c r="AB7" s="85" t="str">
        <v>https://beeline.kz/kk</v>
      </c>
    </row>
    <row r="8" ht="85" customHeight="1">
      <c r="A8" s="88" t="str">
        <v>KZ-07</v>
      </c>
      <c r="B8" s="88" t="str">
        <v>OneVision</v>
      </c>
      <c r="C8" s="88" t="str">
        <v>https://onevision.kz/ru</v>
      </c>
      <c r="D8" s="88" t="str">
        <v>Payments</v>
      </c>
      <c r="E8" s="88" t="str">
        <v>Интернет-эквайринг, рекуррентные платежи и API для мерчантов.</v>
      </c>
      <c r="F8" s="88" t="str">
        <v>Разделить базы мерчантов по подписной и разовой модели оплаты.</v>
      </c>
      <c r="G8" s="88" t="str">
        <v>Merchant acquisition lead</v>
      </c>
      <c r="H8" s="88" t="str">
        <v>sales@onevision.kz (новые клиенты); +77750071344</v>
      </c>
      <c r="I8" s="88" t="str">
        <v>Sales / сотрудничество</v>
      </c>
      <c r="J8" s="95" t="n">
        <v>5</v>
      </c>
      <c r="K8" s="95" t="n">
        <v>4</v>
      </c>
      <c r="L8" s="95" t="n">
        <v>4</v>
      </c>
      <c r="M8" s="95" t="n">
        <v>5</v>
      </c>
      <c r="N8" s="89" t="n">
        <f>J8*6+K8*6+L8*4+M8*4</f>
        <v>90</v>
      </c>
      <c r="O8" s="88" t="str">
        <f>IF(N8&gt;=80,"A — изучить первым",IF(N8&gt;=60,"B — уточнить","C — обогатить"))</f>
        <v>A — изучить первым</v>
      </c>
      <c r="P8" s="88" t="str">
        <v>Сегмент 5: B2B-профиль; сценарий 4: Разделить базы мерчантов по подписной и разовой модели оплаты. Маршрут 4: sales@onevision.kz (новые клиенты); +77750071344. Источник 5: Page content reviewed.</v>
      </c>
      <c r="Q8" s="88" t="str">
        <v>Интернет-эквайринг, рекуррентные платежи и API для мерчантов.</v>
      </c>
      <c r="R8" s="88" t="str">
        <v>Sales принимает клиентские заявки; интерес к подрядчику ещё нужно выяснить.</v>
      </c>
      <c r="S8" s="88" t="str">
        <v>Перепроверить контакт, определить владельца роли и уточнить потребность до обращения.</v>
      </c>
      <c r="T8" s="90" t="d">
        <v>2026-10-13T12:00:00.000Z</v>
      </c>
      <c r="U8" s="88" t="str">
        <v>Содержимое страницы прочитано</v>
      </c>
      <c r="V8" s="96" t="str">
        <v>Не контактировали</v>
      </c>
      <c r="W8" s="88" t="str">
        <v>Нет; только публикация в источнике</v>
      </c>
      <c r="X8" s="88" t="str">
        <v>Не установлены</v>
      </c>
      <c r="Y8" s="88" t="str">
        <v>Не установлен</v>
      </c>
      <c r="Z8" s="96" t="str"/>
      <c r="AA8" s="88" t="str">
        <v>https://onevision.kz/ru</v>
      </c>
      <c r="AB8" s="88" t="str">
        <v>https://onevision.kz/ru</v>
      </c>
    </row>
    <row r="9" ht="85" customHeight="1">
      <c r="A9" s="85" t="str">
        <v>KZ-08</v>
      </c>
      <c r="B9" s="85" t="str">
        <v>Relog</v>
      </c>
      <c r="C9" s="85" t="str">
        <v>https://getrelog.com/</v>
      </c>
      <c r="D9" s="85" t="str">
        <v>Logistics SaaS</v>
      </c>
      <c r="E9" s="85" t="str">
        <v>TMS для маршрутизации, заказов и аналитики курьеров.</v>
      </c>
      <c r="F9" s="85" t="str">
        <v>Найти ритейлеров и дистрибьюторов с публично описанной локальной доставкой.</v>
      </c>
      <c r="G9" s="85" t="str">
        <v>Head of sales</v>
      </c>
      <c r="H9" s="85" t="str">
        <v>+7 (727) 347 0443; запрос демо на главной</v>
      </c>
      <c r="I9" s="85" t="str">
        <v>Форма / общий деловой контакт</v>
      </c>
      <c r="J9" s="95" t="n">
        <v>5</v>
      </c>
      <c r="K9" s="95" t="n">
        <v>5</v>
      </c>
      <c r="L9" s="95" t="n">
        <v>3</v>
      </c>
      <c r="M9" s="95" t="n">
        <v>5</v>
      </c>
      <c r="N9" s="86" t="n">
        <f>J9*6+K9*6+L9*4+M9*4</f>
        <v>92</v>
      </c>
      <c r="O9" s="85" t="str">
        <f>IF(N9&gt;=80,"A — изучить первым",IF(N9&gt;=60,"B — уточнить","C — обогатить"))</f>
        <v>A — изучить первым</v>
      </c>
      <c r="P9" s="85" t="str">
        <v>Сегмент 5: B2B-профиль; сценарий 5: Найти ритейлеров и дистрибьюторов с публично описанной локальной доставкой. Маршрут 3: +7 (727) 347 0443; запрос демо на главной. Источник 5: Page content reviewed.</v>
      </c>
      <c r="Q9" s="85" t="str">
        <v>TMS для маршрутизации, заказов и аналитики курьеров.</v>
      </c>
      <c r="R9" s="85" t="str">
        <v>Размер автопарка и объём доставки нужно изучать отдельно.</v>
      </c>
      <c r="S9" s="85" t="str">
        <v>Перепроверить контакт, определить владельца роли и уточнить потребность до обращения.</v>
      </c>
      <c r="T9" s="87" t="d">
        <v>2026-10-13T12:00:00.000Z</v>
      </c>
      <c r="U9" s="85" t="str">
        <v>Содержимое страницы прочитано</v>
      </c>
      <c r="V9" s="96" t="str">
        <v>Не контактировали</v>
      </c>
      <c r="W9" s="85" t="str">
        <v>Нет; только публикация в источнике</v>
      </c>
      <c r="X9" s="85" t="str">
        <v>Не установлены</v>
      </c>
      <c r="Y9" s="85" t="str">
        <v>Не установлен</v>
      </c>
      <c r="Z9" s="96" t="str"/>
      <c r="AA9" s="85" t="str">
        <v>https://getrelog.com/</v>
      </c>
      <c r="AB9" s="85" t="str">
        <v>https://getrelog.com/</v>
      </c>
    </row>
    <row r="10" ht="85" customHeight="1">
      <c r="A10" s="88" t="str">
        <v>KZ-09</v>
      </c>
      <c r="B10" s="88" t="str">
        <v>Citix</v>
      </c>
      <c r="C10" s="88" t="str">
        <v>https://www.citix.me/</v>
      </c>
      <c r="D10" s="88" t="str">
        <v>Outdoor advertising</v>
      </c>
      <c r="E10" s="88" t="str">
        <v>Реклама на смарт-бордах в Казахстане; заявка на медиаплан.</v>
      </c>
      <c r="F10" s="88" t="str">
        <v>Исследовать региональные бренды с офлайн-точками для продажи размещений.</v>
      </c>
      <c r="G10" s="88" t="str">
        <v>Commercial lead</v>
      </c>
      <c r="H10" s="88" t="str">
        <v>+7 701 127 67 99; публичная ссылка WhatsApp / форма медиаплана</v>
      </c>
      <c r="I10" s="88" t="str">
        <v>Форма / общий деловой контакт</v>
      </c>
      <c r="J10" s="95" t="n">
        <v>4</v>
      </c>
      <c r="K10" s="95" t="n">
        <v>4</v>
      </c>
      <c r="L10" s="95" t="n">
        <v>3</v>
      </c>
      <c r="M10" s="95" t="n">
        <v>5</v>
      </c>
      <c r="N10" s="89" t="n">
        <f>J10*6+K10*6+L10*4+M10*4</f>
        <v>80</v>
      </c>
      <c r="O10" s="88" t="str">
        <f>IF(N10&gt;=80,"A — изучить первым",IF(N10&gt;=60,"B — уточнить","C — обогатить"))</f>
        <v>A — изучить первым</v>
      </c>
      <c r="P10" s="88" t="str">
        <v>Сегмент 4: B2B-профиль; сценарий 4: Исследовать региональные бренды с офлайн-точками для продажи размещений. Маршрут 3: +7 701 127 67 99; публичная ссылка WhatsApp / форма медиаплана. Источник 5: Page content reviewed.</v>
      </c>
      <c r="Q10" s="88" t="str">
        <v>Реклама на смарт-бордах в Казахстане; заявка на медиаплан.</v>
      </c>
      <c r="R10" s="88" t="str">
        <v>Сайт на доработке; рекламный бюджет компаний не установлен.</v>
      </c>
      <c r="S10" s="88" t="str">
        <v>Перепроверить контакт, определить владельца роли и уточнить потребность до обращения.</v>
      </c>
      <c r="T10" s="90" t="d">
        <v>2026-10-13T12:00:00.000Z</v>
      </c>
      <c r="U10" s="88" t="str">
        <v>Содержимое страницы прочитано</v>
      </c>
      <c r="V10" s="96" t="str">
        <v>Не контактировали</v>
      </c>
      <c r="W10" s="88" t="str">
        <v>Нет; только публикация в источнике</v>
      </c>
      <c r="X10" s="88" t="str">
        <v>Не установлены</v>
      </c>
      <c r="Y10" s="88" t="str">
        <v>Не установлен</v>
      </c>
      <c r="Z10" s="96" t="str"/>
      <c r="AA10" s="88" t="str">
        <v>https://www.citix.me/</v>
      </c>
      <c r="AB10" s="88" t="str">
        <v>https://www.citix.me/</v>
      </c>
    </row>
    <row r="11" ht="85" customHeight="1">
      <c r="A11" s="85" t="str">
        <v>KZ-10</v>
      </c>
      <c r="B11" s="85" t="str">
        <v>Kazteleport</v>
      </c>
      <c r="C11" s="85" t="str">
        <v>https://kazteleport.kz/</v>
      </c>
      <c r="D11" s="85" t="str">
        <v>Cloud and IT</v>
      </c>
      <c r="E11" s="85" t="str">
        <v>ИТ-инфраструктура, облако, colocation и кибербезопасность для бизнеса.</v>
      </c>
      <c r="F11" s="85" t="str">
        <v>Исследовать ИТ-партнёров отдельно по облакам и безопасности.</v>
      </c>
      <c r="G11" s="85" t="str">
        <v>Channel development lead</v>
      </c>
      <c r="H11" s="85" t="str">
        <v>sales@kazteleport.kz (сотрудничество); +7 727 364 5151</v>
      </c>
      <c r="I11" s="85" t="str">
        <v>Sales / сотрудничество</v>
      </c>
      <c r="J11" s="95" t="n">
        <v>5</v>
      </c>
      <c r="K11" s="95" t="n">
        <v>3</v>
      </c>
      <c r="L11" s="95" t="n">
        <v>5</v>
      </c>
      <c r="M11" s="95" t="n">
        <v>3</v>
      </c>
      <c r="N11" s="86" t="n">
        <f>J11*6+K11*6+L11*4+M11*4</f>
        <v>80</v>
      </c>
      <c r="O11" s="85" t="str">
        <f>IF(N11&gt;=80,"A — изучить первым",IF(N11&gt;=60,"B — уточнить","C — обогатить"))</f>
        <v>A — изучить первым</v>
      </c>
      <c r="P11" s="85" t="str">
        <v>Сегмент 5: B2B-профиль; сценарий 3: Исследовать ИТ-партнёров отдельно по облакам и безопасности. Маршрут 5: sales@kazteleport.kz (сотрудничество); +7 727 364 5151. Источник 3: Official search-index content; homepage direct fetch failed.</v>
      </c>
      <c r="Q11" s="85" t="str">
        <v>ИТ-инфраструктура, облако, colocation и кибербезопасность для бизнеса.</v>
      </c>
      <c r="R11" s="85" t="str">
        <v>Корпоративные закупки и действующие поставщики могут усложнить вход.</v>
      </c>
      <c r="S11" s="85" t="str">
        <v>Перепроверить контакт, определить владельца роли и уточнить потребность до обращения.</v>
      </c>
      <c r="T11" s="87" t="d">
        <v>2026-10-13T12:00:00.000Z</v>
      </c>
      <c r="U11" s="85" t="str">
        <v>Индекс официальной страницы; прямой доступ к главной не удался</v>
      </c>
      <c r="V11" s="96" t="str">
        <v>Не контактировали</v>
      </c>
      <c r="W11" s="85" t="str">
        <v>Нет; только публикация в источнике</v>
      </c>
      <c r="X11" s="85" t="str">
        <v>Не установлены</v>
      </c>
      <c r="Y11" s="85" t="str">
        <v>Не установлен</v>
      </c>
      <c r="Z11" s="96" t="str"/>
      <c r="AA11" s="85" t="str">
        <v>https://kazteleport.kz/</v>
      </c>
      <c r="AB11" s="85" t="str">
        <v>https://kazteleport.kz/contacts/</v>
      </c>
    </row>
    <row r="12" ht="85" customHeight="1">
      <c r="A12" s="88" t="str">
        <v>KZ-11</v>
      </c>
      <c r="B12" s="88" t="str">
        <v>PS Cloud Services</v>
      </c>
      <c r="C12" s="88" t="str">
        <v>https://ps.kz/</v>
      </c>
      <c r="D12" s="88" t="str">
        <v>Cloud and hosting</v>
      </c>
      <c r="E12" s="88" t="str">
        <v>Официальная документация описывает конструктор сайтов с хостингом.</v>
      </c>
      <c r="F12" s="88" t="str">
        <v>Исследовать веб-агентства как возможный партнёрский канал.</v>
      </c>
      <c r="G12" s="88" t="str">
        <v>Partner program lead</v>
      </c>
      <c r="H12" s="88" t="str">
        <v>support@ps.kz (только поддержка); маршрут к sales нужно уточнить</v>
      </c>
      <c r="I12" s="88" t="str">
        <v>Поддержка / служебный маршрут</v>
      </c>
      <c r="J12" s="95" t="n">
        <v>4</v>
      </c>
      <c r="K12" s="95" t="n">
        <v>3</v>
      </c>
      <c r="L12" s="95" t="n">
        <v>1</v>
      </c>
      <c r="M12" s="95" t="n">
        <v>3</v>
      </c>
      <c r="N12" s="89" t="n">
        <f>J12*6+K12*6+L12*4+M12*4</f>
        <v>58</v>
      </c>
      <c r="O12" s="88" t="str">
        <f>IF(N12&gt;=80,"A — изучить первым",IF(N12&gt;=60,"B — уточнить","C — обогатить"))</f>
        <v>C — обогатить</v>
      </c>
      <c r="P12" s="88" t="str">
        <v>Сегмент 4: B2B-профиль; сценарий 3: Исследовать веб-агентства как возможный партнёрский канал. Маршрут 1: support@ps.kz (только поддержка); маршрут к sales нужно уточнить. Источник 3: Official documentation search-index content.</v>
      </c>
      <c r="Q12" s="88" t="str">
        <v>Официальная документация описывает конструктор сайтов с хостингом.</v>
      </c>
      <c r="R12" s="88" t="str">
        <v>Главную прочитать не удалось; старые контакты продаж исключены.</v>
      </c>
      <c r="S12" s="88" t="str">
        <v>Перепроверить контакт, определить владельца роли и уточнить потребность до обращения.</v>
      </c>
      <c r="T12" s="90" t="d">
        <v>2026-10-13T12:00:00.000Z</v>
      </c>
      <c r="U12" s="88" t="str">
        <v>Индекс официальной документации</v>
      </c>
      <c r="V12" s="96" t="str">
        <v>Не контактировали</v>
      </c>
      <c r="W12" s="88" t="str">
        <v>Нет; только публикация в источнике</v>
      </c>
      <c r="X12" s="88" t="str">
        <v>Не установлены</v>
      </c>
      <c r="Y12" s="88" t="str">
        <v>Не установлен</v>
      </c>
      <c r="Z12" s="96" t="str"/>
      <c r="AA12" s="88" t="str">
        <v>https://docs.ps.kz/ru/hosting/website-builder/hosting-needed</v>
      </c>
      <c r="AB12" s="88" t="str">
        <v>https://docs.ps.kz/ru/hosting/website-builder/hosting-needed</v>
      </c>
    </row>
    <row r="13" ht="85" customHeight="1">
      <c r="A13" s="85" t="str">
        <v>KZ-12</v>
      </c>
      <c r="B13" s="85" t="str">
        <v>Hoster.KZ</v>
      </c>
      <c r="C13" s="85" t="str">
        <v>https://hoster.kz/</v>
      </c>
      <c r="D13" s="85" t="str">
        <v>Hosting</v>
      </c>
      <c r="E13" s="85" t="str">
        <v>Официальная база знаний содержит маршруты поддержки и заказа услуг.</v>
      </c>
      <c r="F13" s="85" t="str">
        <v>Уточнить партнёрский формат для агентств перед сбором базы.</v>
      </c>
      <c r="G13" s="85" t="str">
        <v>Channel sales lead</v>
      </c>
      <c r="H13" s="85" t="str">
        <v>billing@hoster.kz (счета / заказ услуг); support@hoster.kz (поддержка)</v>
      </c>
      <c r="I13" s="85" t="str">
        <v>Поддержка / служебный маршрут</v>
      </c>
      <c r="J13" s="95" t="n">
        <v>4</v>
      </c>
      <c r="K13" s="95" t="n">
        <v>2</v>
      </c>
      <c r="L13" s="95" t="n">
        <v>1</v>
      </c>
      <c r="M13" s="95" t="n">
        <v>2</v>
      </c>
      <c r="N13" s="86" t="n">
        <f>J13*6+K13*6+L13*4+M13*4</f>
        <v>48</v>
      </c>
      <c r="O13" s="85" t="str">
        <f>IF(N13&gt;=80,"A — изучить первым",IF(N13&gt;=60,"B — уточнить","C — обогатить"))</f>
        <v>C — обогатить</v>
      </c>
      <c r="P13" s="85" t="str">
        <v>Сегмент 4: B2B-профиль; сценарий 2: Уточнить партнёрский формат для агентств перед сбором базы. Маршрут 1: billing@hoster.kz (счета / заказ услуг); support@hoster.kz (поддержка). Источник 2: Official search-index content; homepage fetch timed out.</v>
      </c>
      <c r="Q13" s="85" t="str">
        <v>Официальная база знаний содержит маршруты поддержки и заказа услуг.</v>
      </c>
      <c r="R13" s="85" t="str">
        <v>Индекс источника старый; перепроверить контакты до использования.</v>
      </c>
      <c r="S13" s="85" t="str">
        <v>Перепроверить контакт, определить владельца роли и уточнить потребность до обращения.</v>
      </c>
      <c r="T13" s="87" t="d">
        <v>2026-10-13T12:00:00.000Z</v>
      </c>
      <c r="U13" s="85" t="str">
        <v>Индекс официальных страниц; тайм-аут главной</v>
      </c>
      <c r="V13" s="96" t="str">
        <v>Не контактировали</v>
      </c>
      <c r="W13" s="85" t="str">
        <v>Нет; только публикация в источнике</v>
      </c>
      <c r="X13" s="85" t="str">
        <v>Не установлены</v>
      </c>
      <c r="Y13" s="85" t="str">
        <v>Не установлен</v>
      </c>
      <c r="Z13" s="96" t="str"/>
      <c r="AA13" s="85" t="str">
        <v>https://hoster.kz/support/personal-area/5462/manager%40hoster.kz</v>
      </c>
      <c r="AB13" s="85" t="str">
        <v>https://hoster.kz/support/personal-area/5462/manager%40hoster.kz</v>
      </c>
    </row>
    <row r="14" ht="85" customHeight="1">
      <c r="A14" s="88" t="str">
        <v>KZ-13</v>
      </c>
      <c r="B14" s="88" t="str">
        <v>Clockster</v>
      </c>
      <c r="C14" s="88" t="str">
        <v>https://www.clockster.com/faq</v>
      </c>
      <c r="D14" s="88" t="str">
        <v>Workforce SaaS</v>
      </c>
      <c r="E14" s="88" t="str">
        <v>В справке есть учёт посещаемости, графики, зарплата и локации.</v>
      </c>
      <c r="F14" s="88" t="str">
        <v>Исследовать сети сервисных компаний на соответствие продукту управления персоналом.</v>
      </c>
      <c r="G14" s="88" t="str">
        <v>Sales lead</v>
      </c>
      <c r="H14" s="88" t="str">
        <v>info@clockster.com (общий); ссылка запроса демо</v>
      </c>
      <c r="I14" s="88" t="str">
        <v>Форма / общий деловой контакт</v>
      </c>
      <c r="J14" s="95" t="n">
        <v>5</v>
      </c>
      <c r="K14" s="95" t="n">
        <v>4</v>
      </c>
      <c r="L14" s="95" t="n">
        <v>3</v>
      </c>
      <c r="M14" s="95" t="n">
        <v>3</v>
      </c>
      <c r="N14" s="89" t="n">
        <f>J14*6+K14*6+L14*4+M14*4</f>
        <v>78</v>
      </c>
      <c r="O14" s="88" t="str">
        <f>IF(N14&gt;=80,"A — изучить первым",IF(N14&gt;=60,"B — уточнить","C — обогатить"))</f>
        <v>B — уточнить</v>
      </c>
      <c r="P14" s="88" t="str">
        <v>Сегмент 5: B2B-профиль; сценарий 4: Исследовать сети сервисных компаний на соответствие продукту управления персоналом. Маршрут 3: info@clockster.com (общий); ссылка запроса демо. Источник 3: Official FAQ search-index content.</v>
      </c>
      <c r="Q14" s="88" t="str">
        <v>В справке есть учёт посещаемости, графики, зарплата и локации.</v>
      </c>
      <c r="R14" s="88" t="str">
        <v>Численность и география работы sales не установлены.</v>
      </c>
      <c r="S14" s="88" t="str">
        <v>Перепроверить контакт, определить владельца роли и уточнить потребность до обращения.</v>
      </c>
      <c r="T14" s="90" t="d">
        <v>2026-10-13T12:00:00.000Z</v>
      </c>
      <c r="U14" s="88" t="str">
        <v>Индекс официальной справки FAQ</v>
      </c>
      <c r="V14" s="96" t="str">
        <v>Не контактировали</v>
      </c>
      <c r="W14" s="88" t="str">
        <v>Нет; только публикация в источнике</v>
      </c>
      <c r="X14" s="88" t="str">
        <v>Не установлены</v>
      </c>
      <c r="Y14" s="88" t="str">
        <v>Не установлен</v>
      </c>
      <c r="Z14" s="96" t="str"/>
      <c r="AA14" s="88" t="str">
        <v>https://www.clockster.com/faq</v>
      </c>
      <c r="AB14" s="88" t="str">
        <v>https://www.clockster.com/faq</v>
      </c>
    </row>
    <row r="15" ht="85" customHeight="1">
      <c r="A15" s="85" t="str">
        <v>KZ-14</v>
      </c>
      <c r="B15" s="85" t="str">
        <v>Tarlan Payments</v>
      </c>
      <c r="C15" s="85" t="str">
        <v>https://docs.tarlanpayments.kz/eng</v>
      </c>
      <c r="D15" s="85" t="str">
        <v>Payments</v>
      </c>
      <c r="E15" s="85" t="str">
        <v>Официальная документация описывает подключение мерчантов и платёжный шлюз.</v>
      </c>
      <c r="F15" s="85" t="str">
        <v>Исследовать онлайн-бизнес по сложности интеграции.</v>
      </c>
      <c r="G15" s="85" t="str">
        <v>Commercial lead</v>
      </c>
      <c r="H15" s="85" t="str">
        <v>commerce@tarlanpayments.kz (сотрудничество); support@tarlanpayments.kz (поддержка)</v>
      </c>
      <c r="I15" s="85" t="str">
        <v>Sales / сотрудничество</v>
      </c>
      <c r="J15" s="95" t="n">
        <v>5</v>
      </c>
      <c r="K15" s="95" t="n">
        <v>4</v>
      </c>
      <c r="L15" s="95" t="n">
        <v>4</v>
      </c>
      <c r="M15" s="95" t="n">
        <v>2</v>
      </c>
      <c r="N15" s="86" t="n">
        <f>J15*6+K15*6+L15*4+M15*4</f>
        <v>78</v>
      </c>
      <c r="O15" s="85" t="str">
        <f>IF(N15&gt;=80,"A — изучить первым",IF(N15&gt;=60,"B — уточнить","C — обогатить"))</f>
        <v>B — уточнить</v>
      </c>
      <c r="P15" s="85" t="str">
        <v>Сегмент 5: B2B-профиль; сценарий 4: Исследовать онлайн-бизнес по сложности интеграции. Маршрут 4: commerce@tarlanpayments.kz (сотрудничество); support@tarlanpayments.kz (поддержка). Источник 2: Official docs / contact search-index content.</v>
      </c>
      <c r="Q15" s="85" t="str">
        <v>Официальная документация описывает подключение мерчантов и платёжный шлюз.</v>
      </c>
      <c r="R15" s="85" t="str">
        <v>В индексе страницы есть непереведённые подписи; нужна живая перепроверка.</v>
      </c>
      <c r="S15" s="85" t="str">
        <v>Перепроверить контакт, определить владельца роли и уточнить потребность до обращения.</v>
      </c>
      <c r="T15" s="87" t="d">
        <v>2026-10-13T12:00:00.000Z</v>
      </c>
      <c r="U15" s="85" t="str">
        <v>Индекс официальной документации и страницы контактов</v>
      </c>
      <c r="V15" s="96" t="str">
        <v>Не контактировали</v>
      </c>
      <c r="W15" s="85" t="str">
        <v>Нет; только публикация в источнике</v>
      </c>
      <c r="X15" s="85" t="str">
        <v>Не установлены</v>
      </c>
      <c r="Y15" s="85" t="str">
        <v>Не установлен</v>
      </c>
      <c r="Z15" s="96" t="str"/>
      <c r="AA15" s="85" t="str">
        <v>https://docs.tarlanpayments.kz/eng</v>
      </c>
      <c r="AB15" s="85" t="str">
        <v>https://site.tarlanpayments.kz/</v>
      </c>
    </row>
    <row r="16" ht="85" customHeight="1">
      <c r="A16" s="88" t="str">
        <v>KZ-15</v>
      </c>
      <c r="B16" s="88" t="str">
        <v>Hosti.kz</v>
      </c>
      <c r="C16" s="88" t="str">
        <v>https://www.hosti.kz/</v>
      </c>
      <c r="D16" s="88" t="str">
        <v>IT services</v>
      </c>
      <c r="E16" s="88" t="str">
        <v>Бизнес-сайты, корпоративное ПО, хостинг и сопровождение.</v>
      </c>
      <c r="F16" s="88" t="str">
        <v>Исследовать местные компании по потребности в сайте и сопровождении.</v>
      </c>
      <c r="G16" s="88" t="str">
        <v>Commercial director</v>
      </c>
      <c r="H16" s="88" t="str">
        <v>+7 (777) 075-22-88 (продажи); support@hosti.kz (поддержка)</v>
      </c>
      <c r="I16" s="88" t="str">
        <v>Sales / сотрудничество</v>
      </c>
      <c r="J16" s="95" t="n">
        <v>5</v>
      </c>
      <c r="K16" s="95" t="n">
        <v>4</v>
      </c>
      <c r="L16" s="95" t="n">
        <v>4</v>
      </c>
      <c r="M16" s="95" t="n">
        <v>5</v>
      </c>
      <c r="N16" s="89" t="n">
        <f>J16*6+K16*6+L16*4+M16*4</f>
        <v>90</v>
      </c>
      <c r="O16" s="88" t="str">
        <f>IF(N16&gt;=80,"A — изучить первым",IF(N16&gt;=60,"B — уточнить","C — обогатить"))</f>
        <v>A — изучить первым</v>
      </c>
      <c r="P16" s="88" t="str">
        <v>Сегмент 5: B2B-профиль; сценарий 4: Исследовать местные компании по потребности в сайте и сопровождении. Маршрут 4: +7 (777) 075-22-88 (продажи); support@hosti.kz (поддержка). Источник 5: Page content reviewed.</v>
      </c>
      <c r="Q16" s="88" t="str">
        <v>Бизнес-сайты, корпоративное ПО, хостинг и сопровождение.</v>
      </c>
      <c r="R16" s="88" t="str">
        <v>Потребность в сайте не доказывает наличие бюджета.</v>
      </c>
      <c r="S16" s="88" t="str">
        <v>Перепроверить контакт, определить владельца роли и уточнить потребность до обращения.</v>
      </c>
      <c r="T16" s="90" t="d">
        <v>2026-10-13T12:00:00.000Z</v>
      </c>
      <c r="U16" s="88" t="str">
        <v>Содержимое страницы прочитано</v>
      </c>
      <c r="V16" s="96" t="str">
        <v>Не контактировали</v>
      </c>
      <c r="W16" s="88" t="str">
        <v>Нет; только публикация в источнике</v>
      </c>
      <c r="X16" s="88" t="str">
        <v>Не установлены</v>
      </c>
      <c r="Y16" s="88" t="str">
        <v>Не установлен</v>
      </c>
      <c r="Z16" s="96" t="str"/>
      <c r="AA16" s="88" t="str">
        <v>https://www.hosti.kz/</v>
      </c>
      <c r="AB16" s="88" t="str">
        <v>https://www.hosti.kz/</v>
      </c>
    </row>
  </sheetData>
  <conditionalFormatting sqref="N2:N16">
    <cfRule type="colorScale" priority="1">
      <colorScale>
        <cfvo type="min"/>
        <cfvo type="percentile" val="50"/>
        <cfvo type="max"/>
        <color rgb="FFF2E2D3"/>
        <color rgb="FFE6EAD8"/>
        <color rgb="FFB9DCAD"/>
      </colorScale>
    </cfRule>
  </conditionalFormatting>
  <dataValidations count="2">
    <dataValidation type="whole" operator="between" sqref="J2:M16">
      <formula1>0</formula1>
      <formula2>5</formula2>
    </dataValidation>
    <dataValidation type="list" sqref="V2:V16">
      <formula1>"Не контактировали,Готовится обращение,Контактировали,Ответ,Не актуально"</formula1>
    </dataValidation>
  </dataValidations>
  <hyperlinks>
    <hyperlink ref="C2" r:id="portfolioLink0"/>
    <hyperlink ref="AA2" r:id="portfolioLink1"/>
    <hyperlink ref="AB2" r:id="portfolioLink2"/>
    <hyperlink ref="C3" r:id="portfolioLink3"/>
    <hyperlink ref="AA3" r:id="portfolioLink4"/>
    <hyperlink ref="AB3" r:id="portfolioLink5"/>
    <hyperlink ref="C4" r:id="portfolioLink6"/>
    <hyperlink ref="AA4" r:id="portfolioLink7"/>
    <hyperlink ref="AB4" r:id="portfolioLink8"/>
    <hyperlink ref="C5" r:id="portfolioLink9"/>
    <hyperlink ref="AA5" r:id="portfolioLink10"/>
    <hyperlink ref="AB5" r:id="portfolioLink11"/>
    <hyperlink ref="C6" r:id="portfolioLink12"/>
    <hyperlink ref="AA6" r:id="portfolioLink13"/>
    <hyperlink ref="AB6" r:id="portfolioLink14"/>
    <hyperlink ref="C7" r:id="portfolioLink15"/>
    <hyperlink ref="AA7" r:id="portfolioLink16"/>
    <hyperlink ref="AB7" r:id="portfolioLink17"/>
    <hyperlink ref="C8" r:id="portfolioLink18"/>
    <hyperlink ref="AA8" r:id="portfolioLink19"/>
    <hyperlink ref="AB8" r:id="portfolioLink20"/>
    <hyperlink ref="C9" r:id="portfolioLink21"/>
    <hyperlink ref="AA9" r:id="portfolioLink22"/>
    <hyperlink ref="AB9" r:id="portfolioLink23"/>
    <hyperlink ref="C10" r:id="portfolioLink24"/>
    <hyperlink ref="AA10" r:id="portfolioLink25"/>
    <hyperlink ref="AB10" r:id="portfolioLink26"/>
    <hyperlink ref="C11" r:id="portfolioLink27"/>
    <hyperlink ref="AA11" r:id="portfolioLink28"/>
    <hyperlink ref="AB11" r:id="portfolioLink29"/>
    <hyperlink ref="C12" r:id="portfolioLink30"/>
    <hyperlink ref="AA12" r:id="portfolioLink31"/>
    <hyperlink ref="AB12" r:id="portfolioLink32"/>
    <hyperlink ref="C13" r:id="portfolioLink33"/>
    <hyperlink ref="AA13" r:id="portfolioLink34"/>
    <hyperlink ref="AB13" r:id="portfolioLink35"/>
    <hyperlink ref="C14" r:id="portfolioLink36"/>
    <hyperlink ref="AA14" r:id="portfolioLink37"/>
    <hyperlink ref="AB14" r:id="portfolioLink38"/>
    <hyperlink ref="C15" r:id="portfolioLink39"/>
    <hyperlink ref="AA15" r:id="portfolioLink40"/>
    <hyperlink ref="AB15" r:id="portfolioLink41"/>
    <hyperlink ref="C16" r:id="portfolioLink42"/>
    <hyperlink ref="AA16" r:id="portfolioLink43"/>
    <hyperlink ref="AB16" r:id="portfolioLink44"/>
  </hyperlinks>
  <pageMargins left="0.7" right="0.7" top="0.75" bottom="0.75" header="0.3" footer="0.3"/>
  <tableParts count="1">
    <tablePart r:id="R14b9e0d3af2c45e7"/>
  </tableParts>
</worksheet>
</file>

<file path=xl/worksheets/sheet6.xml><?xml version="1.0" encoding="utf-8"?>
<worksheet xmlns="http://schemas.openxmlformats.org/spreadsheetml/2006/main">
  <sheetPr>
    <tabColor rgb="FFC7CDC2"/>
  </sheetPr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12" customHeight="1">
      <c r="A1" s="28"/>
      <c r="B1" s="28"/>
      <c r="C1" s="28"/>
      <c r="D1" s="28"/>
      <c r="E1" s="28"/>
      <c r="F1" s="28"/>
      <c r="G1" s="28"/>
      <c r="H1" s="28"/>
    </row>
    <row r="2" ht="35" customHeight="1">
      <c r="A2" s="33" t="str">
        <v>Примеры обращений</v>
      </c>
      <c r="B2" s="33"/>
      <c r="C2" s="33"/>
      <c r="D2" s="33"/>
      <c r="E2" s="33"/>
      <c r="F2" s="33"/>
      <c r="G2" s="33"/>
      <c r="H2" s="33"/>
    </row>
    <row r="3" ht="30" customHeight="1">
      <c r="A3" s="32" t="str">
        <v>Черновики не отправлялись. Используйте после проверки контакта и согласования задачи.</v>
      </c>
      <c r="B3" s="32"/>
      <c r="C3" s="32"/>
      <c r="D3" s="32"/>
      <c r="E3" s="32"/>
      <c r="F3" s="32"/>
      <c r="G3" s="32"/>
      <c r="H3" s="32"/>
    </row>
    <row r="4" ht="23" customHeight="1">
      <c r="A4" s="28"/>
      <c r="B4" s="28"/>
      <c r="C4" s="28"/>
      <c r="D4" s="28"/>
      <c r="E4" s="28"/>
      <c r="F4" s="28"/>
      <c r="G4" s="28"/>
      <c r="H4" s="28"/>
    </row>
    <row r="5" ht="30" customHeight="1">
      <c r="A5" s="107" t="str">
        <v>01   Первое обращение / Relog</v>
      </c>
      <c r="B5" s="107"/>
      <c r="C5" s="107"/>
      <c r="D5" s="107"/>
      <c r="E5" s="107"/>
      <c r="F5" s="107"/>
      <c r="G5" s="107"/>
      <c r="H5" s="107"/>
    </row>
    <row r="6" ht="21" customHeight="1">
      <c r="A6" s="35" t="str">
        <v>Основание</v>
      </c>
      <c r="B6" s="35"/>
      <c r="C6" s="32" t="str">
        <v>Публичный сайт описывает маршрутизацию и аналитику курьеров.</v>
      </c>
      <c r="D6" s="32"/>
      <c r="E6" s="32"/>
      <c r="F6" s="32"/>
      <c r="G6" s="32"/>
      <c r="H6" s="32"/>
    </row>
    <row r="7" ht="23" customHeight="1">
      <c r="A7" s="28"/>
      <c r="B7" s="28"/>
      <c r="C7" s="32"/>
      <c r="D7" s="32"/>
      <c r="E7" s="32"/>
      <c r="F7" s="32"/>
      <c r="G7" s="32"/>
      <c r="H7" s="32"/>
    </row>
    <row r="8" ht="23" customHeight="1">
      <c r="A8" s="54" t="str">
        <v>Здравствуйте! На сайте Relog увидел TMS для локальной доставки. Я Ansar Kilash, ищу работу в B2B research или проект по сбору баз. Могу подготовить тестовую выборку ритейлеров с публично описанной доставкой: источник, география, гипотеза соответствия и следующий шаг. Кто у вас отвечает за prospect research?</v>
      </c>
      <c r="B8" s="54"/>
      <c r="C8" s="54"/>
      <c r="D8" s="54"/>
      <c r="E8" s="54"/>
      <c r="F8" s="54"/>
      <c r="G8" s="54"/>
      <c r="H8" s="54"/>
    </row>
    <row r="9" ht="23" customHeight="1">
      <c r="A9" s="54"/>
      <c r="B9" s="54"/>
      <c r="C9" s="54"/>
      <c r="D9" s="54"/>
      <c r="E9" s="54"/>
      <c r="F9" s="54"/>
      <c r="G9" s="54"/>
      <c r="H9" s="54"/>
    </row>
    <row r="10" ht="23" customHeight="1">
      <c r="A10" s="54"/>
      <c r="B10" s="54"/>
      <c r="C10" s="54"/>
      <c r="D10" s="54"/>
      <c r="E10" s="54"/>
      <c r="F10" s="54"/>
      <c r="G10" s="54"/>
      <c r="H10" s="54"/>
    </row>
    <row r="11" ht="23" customHeight="1">
      <c r="A11" s="54"/>
      <c r="B11" s="54"/>
      <c r="C11" s="54"/>
      <c r="D11" s="54"/>
      <c r="E11" s="54"/>
      <c r="F11" s="54"/>
      <c r="G11" s="54"/>
      <c r="H11" s="54"/>
    </row>
    <row r="12" ht="23" customHeight="1">
      <c r="A12" s="54"/>
      <c r="B12" s="54"/>
      <c r="C12" s="54"/>
      <c r="D12" s="54"/>
      <c r="E12" s="54"/>
      <c r="F12" s="54"/>
      <c r="G12" s="54"/>
      <c r="H12" s="54"/>
    </row>
    <row r="13" ht="21" customHeight="1">
      <c r="A13" s="35" t="str">
        <v>Когда использовать</v>
      </c>
      <c r="B13" s="35"/>
      <c r="C13" s="32" t="str">
        <v>Сначала установить подходящий контакт; не использовать форму демо как массовый канал.</v>
      </c>
      <c r="D13" s="32"/>
      <c r="E13" s="32"/>
      <c r="F13" s="32"/>
      <c r="G13" s="32"/>
      <c r="H13" s="32"/>
    </row>
    <row r="14" ht="21" customHeight="1">
      <c r="A14" s="35"/>
      <c r="B14" s="35"/>
      <c r="C14" s="32"/>
      <c r="D14" s="32"/>
      <c r="E14" s="32"/>
      <c r="F14" s="32"/>
      <c r="G14" s="32"/>
      <c r="H14" s="32"/>
    </row>
    <row r="15" ht="21" customHeight="1">
      <c r="A15" s="35" t="str">
        <v>Следующий шаг</v>
      </c>
      <c r="B15" s="35"/>
      <c r="C15" s="109" t="str">
        <v>Уточнить территорию, исключения и формат тестовой выборки.</v>
      </c>
      <c r="D15" s="109"/>
      <c r="E15" s="109"/>
      <c r="F15" s="109"/>
      <c r="G15" s="109"/>
      <c r="H15" s="109"/>
    </row>
    <row r="16" ht="21" customHeight="1">
      <c r="A16" s="35"/>
      <c r="B16" s="35"/>
      <c r="C16" s="109"/>
      <c r="D16" s="109"/>
      <c r="E16" s="109"/>
      <c r="F16" s="109"/>
      <c r="G16" s="109"/>
      <c r="H16" s="109"/>
    </row>
    <row r="17" ht="23" customHeight="1">
      <c r="A17" s="28"/>
      <c r="B17" s="28"/>
      <c r="C17" s="28"/>
      <c r="D17" s="28"/>
      <c r="E17" s="28"/>
      <c r="F17" s="28"/>
      <c r="G17" s="28"/>
      <c r="H17" s="28"/>
    </row>
    <row r="18" ht="30" customHeight="1">
      <c r="A18" s="107" t="str">
        <v>02   Follow-up / после первого обращения</v>
      </c>
      <c r="B18" s="107"/>
      <c r="C18" s="107"/>
      <c r="D18" s="107"/>
      <c r="E18" s="107"/>
      <c r="F18" s="107"/>
      <c r="G18" s="107"/>
      <c r="H18" s="107"/>
    </row>
    <row r="19" ht="21" customHeight="1">
      <c r="A19" s="35" t="str">
        <v>Основание</v>
      </c>
      <c r="B19" s="35"/>
      <c r="C19" s="32" t="str">
        <v>Только если первое сообщение действительно отправлено и канал подходит.</v>
      </c>
      <c r="D19" s="32"/>
      <c r="E19" s="32"/>
      <c r="F19" s="32"/>
      <c r="G19" s="32"/>
      <c r="H19" s="32"/>
    </row>
    <row r="20" ht="23" customHeight="1">
      <c r="A20" s="28"/>
      <c r="B20" s="28"/>
      <c r="C20" s="32"/>
      <c r="D20" s="32"/>
      <c r="E20" s="32"/>
      <c r="F20" s="32"/>
      <c r="G20" s="32"/>
      <c r="H20" s="32"/>
    </row>
    <row r="21" ht="23" customHeight="1">
      <c r="A21" s="54" t="str">
        <v>Здравствуйте! Коротко возвращаюсь к предложению по исследованию ритейлеров с доставкой. Могу показать формат на небольшой выборке без обещаний встреч или продаж. Если задача не актуальна, сообщите — остановлю обращения.</v>
      </c>
      <c r="B21" s="54"/>
      <c r="C21" s="54"/>
      <c r="D21" s="54"/>
      <c r="E21" s="54"/>
      <c r="F21" s="54"/>
      <c r="G21" s="54"/>
      <c r="H21" s="54"/>
    </row>
    <row r="22" ht="23" customHeight="1">
      <c r="A22" s="54"/>
      <c r="B22" s="54"/>
      <c r="C22" s="54"/>
      <c r="D22" s="54"/>
      <c r="E22" s="54"/>
      <c r="F22" s="54"/>
      <c r="G22" s="54"/>
      <c r="H22" s="54"/>
    </row>
    <row r="23" ht="23" customHeight="1">
      <c r="A23" s="54"/>
      <c r="B23" s="54"/>
      <c r="C23" s="54"/>
      <c r="D23" s="54"/>
      <c r="E23" s="54"/>
      <c r="F23" s="54"/>
      <c r="G23" s="54"/>
      <c r="H23" s="54"/>
    </row>
    <row r="24" ht="23" customHeight="1">
      <c r="A24" s="54"/>
      <c r="B24" s="54"/>
      <c r="C24" s="54"/>
      <c r="D24" s="54"/>
      <c r="E24" s="54"/>
      <c r="F24" s="54"/>
      <c r="G24" s="54"/>
      <c r="H24" s="54"/>
    </row>
    <row r="25" ht="23" customHeight="1">
      <c r="A25" s="54"/>
      <c r="B25" s="54"/>
      <c r="C25" s="54"/>
      <c r="D25" s="54"/>
      <c r="E25" s="54"/>
      <c r="F25" s="54"/>
      <c r="G25" s="54"/>
      <c r="H25" s="54"/>
    </row>
    <row r="26" ht="21" customHeight="1">
      <c r="A26" s="35" t="str">
        <v>Когда использовать</v>
      </c>
      <c r="B26" s="35"/>
      <c r="C26" s="32" t="str">
        <v>Не отправлено. Интервал и число попыток согласуются с компанией; прекращать после отказа.</v>
      </c>
      <c r="D26" s="32"/>
      <c r="E26" s="32"/>
      <c r="F26" s="32"/>
      <c r="G26" s="32"/>
      <c r="H26" s="32"/>
    </row>
    <row r="27" ht="21" customHeight="1">
      <c r="A27" s="35"/>
      <c r="B27" s="35"/>
      <c r="C27" s="32"/>
      <c r="D27" s="32"/>
      <c r="E27" s="32"/>
      <c r="F27" s="32"/>
      <c r="G27" s="32"/>
      <c r="H27" s="32"/>
    </row>
    <row r="28" ht="21" customHeight="1">
      <c r="A28" s="35" t="str">
        <v>Следующий шаг</v>
      </c>
      <c r="B28" s="35"/>
      <c r="C28" s="109" t="str">
        <v>Зафиксировать ответ или остановку; не выдавать отсутствие ответа за интерес.</v>
      </c>
      <c r="D28" s="109"/>
      <c r="E28" s="109"/>
      <c r="F28" s="109"/>
      <c r="G28" s="109"/>
      <c r="H28" s="109"/>
    </row>
    <row r="29" ht="21" customHeight="1">
      <c r="A29" s="35"/>
      <c r="B29" s="35"/>
      <c r="C29" s="109"/>
      <c r="D29" s="109"/>
      <c r="E29" s="109"/>
      <c r="F29" s="109"/>
      <c r="G29" s="109"/>
      <c r="H29" s="109"/>
    </row>
    <row r="30" ht="23" customHeight="1">
      <c r="A30" s="28"/>
      <c r="B30" s="28"/>
      <c r="C30" s="28"/>
      <c r="D30" s="28"/>
      <c r="E30" s="28"/>
      <c r="F30" s="28"/>
      <c r="G30" s="28"/>
      <c r="H30" s="28"/>
    </row>
    <row r="31" ht="30" customHeight="1">
      <c r="A31" s="107" t="str">
        <v>03   Квалификация / после ответа</v>
      </c>
      <c r="B31" s="107"/>
      <c r="C31" s="107"/>
      <c r="D31" s="107"/>
      <c r="E31" s="107"/>
      <c r="F31" s="107"/>
      <c r="G31" s="107"/>
      <c r="H31" s="107"/>
    </row>
    <row r="32" ht="21" customHeight="1">
      <c r="A32" s="35" t="str">
        <v>Основание</v>
      </c>
      <c r="B32" s="35"/>
      <c r="C32" s="32" t="str">
        <v>Только после реального ответа.</v>
      </c>
      <c r="D32" s="32"/>
      <c r="E32" s="32"/>
      <c r="F32" s="32"/>
      <c r="G32" s="32"/>
      <c r="H32" s="32"/>
    </row>
    <row r="33" ht="23" customHeight="1">
      <c r="A33" s="28"/>
      <c r="B33" s="28"/>
      <c r="C33" s="32"/>
      <c r="D33" s="32"/>
      <c r="E33" s="32"/>
      <c r="F33" s="32"/>
      <c r="G33" s="32"/>
      <c r="H33" s="32"/>
    </row>
    <row r="34" ht="23" customHeight="1">
      <c r="A34" s="54" t="str">
        <v>Спасибо! Уточню: какие регионы и типы доставки приоритетны? Какие компании исключить? Какие поля обязательны и кто будет принимать результат? Нужна только база или также согласованные обращения и передача встреч?</v>
      </c>
      <c r="B34" s="54"/>
      <c r="C34" s="54"/>
      <c r="D34" s="54"/>
      <c r="E34" s="54"/>
      <c r="F34" s="54"/>
      <c r="G34" s="54"/>
      <c r="H34" s="54"/>
    </row>
    <row r="35" ht="23" customHeight="1">
      <c r="A35" s="54"/>
      <c r="B35" s="54"/>
      <c r="C35" s="54"/>
      <c r="D35" s="54"/>
      <c r="E35" s="54"/>
      <c r="F35" s="54"/>
      <c r="G35" s="54"/>
      <c r="H35" s="54"/>
    </row>
    <row r="36" ht="23" customHeight="1">
      <c r="A36" s="54"/>
      <c r="B36" s="54"/>
      <c r="C36" s="54"/>
      <c r="D36" s="54"/>
      <c r="E36" s="54"/>
      <c r="F36" s="54"/>
      <c r="G36" s="54"/>
      <c r="H36" s="54"/>
    </row>
    <row r="37" ht="23" customHeight="1">
      <c r="A37" s="54"/>
      <c r="B37" s="54"/>
      <c r="C37" s="54"/>
      <c r="D37" s="54"/>
      <c r="E37" s="54"/>
      <c r="F37" s="54"/>
      <c r="G37" s="54"/>
      <c r="H37" s="54"/>
    </row>
    <row r="38" ht="23" customHeight="1">
      <c r="A38" s="54"/>
      <c r="B38" s="54"/>
      <c r="C38" s="54"/>
      <c r="D38" s="54"/>
      <c r="E38" s="54"/>
      <c r="F38" s="54"/>
      <c r="G38" s="54"/>
      <c r="H38" s="54"/>
    </row>
    <row r="39" ht="21" customHeight="1">
      <c r="A39" s="35" t="str">
        <v>Когда использовать</v>
      </c>
      <c r="B39" s="35"/>
      <c r="C39" s="32" t="str">
        <v>Реальных ответов в примере нет.</v>
      </c>
      <c r="D39" s="32"/>
      <c r="E39" s="32"/>
      <c r="F39" s="32"/>
      <c r="G39" s="32"/>
      <c r="H39" s="32"/>
    </row>
    <row r="40" ht="21" customHeight="1">
      <c r="A40" s="35"/>
      <c r="B40" s="35"/>
      <c r="C40" s="32"/>
      <c r="D40" s="32"/>
      <c r="E40" s="32"/>
      <c r="F40" s="32"/>
      <c r="G40" s="32"/>
      <c r="H40" s="32"/>
    </row>
    <row r="41" ht="21" customHeight="1">
      <c r="A41" s="35" t="str">
        <v>Следующий шаг</v>
      </c>
      <c r="B41" s="35"/>
      <c r="C41" s="109" t="str">
        <v>Согласовать критерии приёмки и следующий шаг.</v>
      </c>
      <c r="D41" s="109"/>
      <c r="E41" s="109"/>
      <c r="F41" s="109"/>
      <c r="G41" s="109"/>
      <c r="H41" s="109"/>
    </row>
    <row r="42" ht="21" customHeight="1">
      <c r="A42" s="35"/>
      <c r="B42" s="35"/>
      <c r="C42" s="109"/>
      <c r="D42" s="109"/>
      <c r="E42" s="109"/>
      <c r="F42" s="109"/>
      <c r="G42" s="109"/>
      <c r="H42" s="109"/>
    </row>
    <row r="43" ht="23" customHeight="1">
      <c r="A43" s="28"/>
      <c r="B43" s="28"/>
      <c r="C43" s="28"/>
      <c r="D43" s="28"/>
      <c r="E43" s="28"/>
      <c r="F43" s="28"/>
      <c r="G43" s="28"/>
      <c r="H43" s="28"/>
    </row>
    <row r="44" ht="30" customHeight="1">
      <c r="A44" s="107" t="str">
        <v>04   Передача встречи / шаблон</v>
      </c>
      <c r="B44" s="107"/>
      <c r="C44" s="107"/>
      <c r="D44" s="107"/>
      <c r="E44" s="107"/>
      <c r="F44" s="107"/>
      <c r="G44" s="107"/>
      <c r="H44" s="107"/>
    </row>
    <row r="45" ht="21" customHeight="1">
      <c r="A45" s="35" t="str">
        <v>Основание</v>
      </c>
      <c r="B45" s="35"/>
      <c r="C45" s="32" t="str">
        <v>Только после согласия сторон; незаполненный шаблон не является встречей.</v>
      </c>
      <c r="D45" s="32"/>
      <c r="E45" s="32"/>
      <c r="F45" s="32"/>
      <c r="G45" s="32"/>
      <c r="H45" s="32"/>
    </row>
    <row r="46" ht="23" customHeight="1">
      <c r="A46" s="28"/>
      <c r="B46" s="28"/>
      <c r="C46" s="32"/>
      <c r="D46" s="32"/>
      <c r="E46" s="32"/>
      <c r="F46" s="32"/>
      <c r="G46" s="32"/>
      <c r="H46" s="32"/>
    </row>
    <row r="47" ht="23" customHeight="1">
      <c r="A47" s="54" t="str">
        <v>Компания: [после подтверждения]
Контакт и роль: [проверить]
Задача / текущий процесс: [из ответа]
Сроки / бюджет: [из ответа или неизвестны]
Дата, время, часовой пояс: [согласовать]
Повестка / участники / владелец: [согласовать]</v>
      </c>
      <c r="B47" s="54"/>
      <c r="C47" s="54"/>
      <c r="D47" s="54"/>
      <c r="E47" s="54"/>
      <c r="F47" s="54"/>
      <c r="G47" s="54"/>
      <c r="H47" s="54"/>
    </row>
    <row r="48" ht="23" customHeight="1">
      <c r="A48" s="54"/>
      <c r="B48" s="54"/>
      <c r="C48" s="54"/>
      <c r="D48" s="54"/>
      <c r="E48" s="54"/>
      <c r="F48" s="54"/>
      <c r="G48" s="54"/>
      <c r="H48" s="54"/>
    </row>
    <row r="49" ht="23" customHeight="1">
      <c r="A49" s="54"/>
      <c r="B49" s="54"/>
      <c r="C49" s="54"/>
      <c r="D49" s="54"/>
      <c r="E49" s="54"/>
      <c r="F49" s="54"/>
      <c r="G49" s="54"/>
      <c r="H49" s="54"/>
    </row>
    <row r="50" ht="23" customHeight="1">
      <c r="A50" s="54"/>
      <c r="B50" s="54"/>
      <c r="C50" s="54"/>
      <c r="D50" s="54"/>
      <c r="E50" s="54"/>
      <c r="F50" s="54"/>
      <c r="G50" s="54"/>
      <c r="H50" s="54"/>
    </row>
    <row r="51" ht="23" customHeight="1">
      <c r="A51" s="54"/>
      <c r="B51" s="54"/>
      <c r="C51" s="54"/>
      <c r="D51" s="54"/>
      <c r="E51" s="54"/>
      <c r="F51" s="54"/>
      <c r="G51" s="54"/>
      <c r="H51" s="54"/>
    </row>
    <row r="52" ht="21" customHeight="1">
      <c r="A52" s="35" t="str">
        <v>Когда использовать</v>
      </c>
      <c r="B52" s="35"/>
      <c r="C52" s="32" t="str">
        <v>Шаблон содержит явные поля ввода; встреча не назначена.</v>
      </c>
      <c r="D52" s="32"/>
      <c r="E52" s="32"/>
      <c r="F52" s="32"/>
      <c r="G52" s="32"/>
      <c r="H52" s="32"/>
    </row>
    <row r="53" ht="21" customHeight="1">
      <c r="A53" s="35"/>
      <c r="B53" s="35"/>
      <c r="C53" s="32"/>
      <c r="D53" s="32"/>
      <c r="E53" s="32"/>
      <c r="F53" s="32"/>
      <c r="G53" s="32"/>
      <c r="H53" s="32"/>
    </row>
    <row r="54" ht="21" customHeight="1">
      <c r="A54" s="35" t="str">
        <v>Следующий шаг</v>
      </c>
      <c r="B54" s="35"/>
      <c r="C54" s="109" t="str">
        <v>Получить подтверждение времени, согласия, роли и повестки.</v>
      </c>
      <c r="D54" s="109"/>
      <c r="E54" s="109"/>
      <c r="F54" s="109"/>
      <c r="G54" s="109"/>
      <c r="H54" s="109"/>
    </row>
    <row r="55" ht="21" customHeight="1">
      <c r="A55" s="35"/>
      <c r="B55" s="35"/>
      <c r="C55" s="109"/>
      <c r="D55" s="109"/>
      <c r="E55" s="109"/>
      <c r="F55" s="109"/>
      <c r="G55" s="109"/>
      <c r="H55" s="109"/>
    </row>
    <row r="56" ht="23" customHeight="1">
      <c r="A56" s="28"/>
      <c r="B56" s="28"/>
      <c r="C56" s="28"/>
      <c r="D56" s="28"/>
      <c r="E56" s="28"/>
      <c r="F56" s="28"/>
      <c r="G56" s="28"/>
      <c r="H56" s="28"/>
    </row>
    <row r="57" ht="23" customHeight="1">
      <c r="A57" s="28"/>
      <c r="B57" s="28"/>
      <c r="C57" s="28"/>
      <c r="D57" s="28"/>
      <c r="E57" s="28"/>
      <c r="F57" s="28"/>
      <c r="G57" s="28"/>
      <c r="H57" s="28"/>
    </row>
    <row r="58" ht="30" customHeight="1">
      <c r="A58" s="53" t="str">
        <v>← Обзор</v>
      </c>
      <c r="B58" s="53"/>
      <c r="C58" s="53"/>
      <c r="D58" s="53"/>
      <c r="E58" s="28"/>
      <c r="F58" s="28"/>
      <c r="G58" s="28"/>
      <c r="H58" s="28"/>
    </row>
    <row r="59" ht="23" customHeight="1">
      <c r="A59" s="28"/>
      <c r="B59" s="28"/>
      <c r="C59" s="28"/>
      <c r="D59" s="28"/>
      <c r="E59" s="28"/>
      <c r="F59" s="28"/>
      <c r="G59" s="28"/>
      <c r="H59" s="28"/>
    </row>
  </sheetData>
  <mergeCells>
    <mergeCell ref="A2:H2"/>
    <mergeCell ref="A3:H3"/>
    <mergeCell ref="A5:H5"/>
    <mergeCell ref="A6:B6"/>
    <mergeCell ref="C6:H7"/>
    <mergeCell ref="A8:H12"/>
    <mergeCell ref="A13:B14"/>
    <mergeCell ref="C13:H14"/>
    <mergeCell ref="A15:B16"/>
    <mergeCell ref="C15:H16"/>
    <mergeCell ref="A18:H18"/>
    <mergeCell ref="A19:B19"/>
    <mergeCell ref="C19:H20"/>
    <mergeCell ref="A21:H25"/>
    <mergeCell ref="A26:B27"/>
    <mergeCell ref="C26:H27"/>
    <mergeCell ref="A28:B29"/>
    <mergeCell ref="C28:H29"/>
    <mergeCell ref="A31:H31"/>
    <mergeCell ref="A32:B32"/>
    <mergeCell ref="C32:H33"/>
    <mergeCell ref="A34:H38"/>
    <mergeCell ref="A39:B40"/>
    <mergeCell ref="C39:H40"/>
    <mergeCell ref="A41:B42"/>
    <mergeCell ref="C41:H42"/>
    <mergeCell ref="A44:H44"/>
    <mergeCell ref="A45:B45"/>
    <mergeCell ref="C45:H46"/>
    <mergeCell ref="A47:H51"/>
    <mergeCell ref="A52:B53"/>
    <mergeCell ref="C52:H53"/>
    <mergeCell ref="A54:B55"/>
    <mergeCell ref="C54:H55"/>
    <mergeCell ref="A58:D58"/>
  </mergeCells>
  <hyperlinks>
    <hyperlink ref="A58" location="'Обзор'!A1" display="← Обзор"/>
  </hyperlinks>
  <pageMargins left="0.7" right="0.7" top="0.75" bottom="0.75" header="0.3" footer="0.3"/>
</worksheet>
</file>